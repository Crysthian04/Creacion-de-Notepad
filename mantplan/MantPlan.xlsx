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CAT_TURNOS" sheetId="22" state="visible" r:id="rId22"/>
    <sheet name="EXPORTAR" sheetId="23" state="visible" r:id="rId23"/>
    <sheet name="_COMPATIBILIDAD" sheetId="24" state="visible" r:id="rId24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coordinad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O451" headerRowCount="1">
  <autoFilter ref="A3:O451"/>
  <tableColumns count="15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turno_manual"/>
    <tableColumn id="9" name="turno"/>
    <tableColumn id="10" name="coordinador"/>
    <tableColumn id="11" name="fecha"/>
    <tableColumn id="12" name="horas_disponibles"/>
    <tableColumn id="13" name="clave"/>
    <tableColumn id="14" name="hora_inicio"/>
    <tableColumn id="15" name="hora_f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2.7.0 · generado 2026-07-23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46216</v>
      </c>
      <c r="C20" s="2" t="inlineStr">
        <is>
          <t>FECHA (lunes) de la semana de referencia de la rotación de turnos (6.3).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46216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46217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46216</v>
      </c>
      <c r="K4" s="3" t="n">
        <v>10</v>
      </c>
      <c r="L4" s="11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3">
        <f>IF(tblOrdenes[[#This Row],[fecha_inicio]]="","",TODAY()-tblOrdenes[[#This Row],[fecha_inicio]])</f>
        <v/>
      </c>
      <c r="AB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1">
        <f>IF(tblOrdenes[[#This Row],[orden]]="","",_xlfn.XLOOKUP(tblOrdenes[[#This Row],[id_operacion]],tblEjecucion[id_operacion],tblEjecucion[precio],0))</f>
        <v/>
      </c>
      <c r="AJ4" s="11">
        <f>IF(tblOrdenes[[#This Row],[orden]]="","",MAX(0,_xlfn.XLOOKUP(tblOrdenes[[#This Row],[id_operacion]],tblEjecucion[id_operacion],tblEjecucion[costo_plan_total],0)-tblOrdenes[[#This Row],[costo_servicio]]))</f>
        <v/>
      </c>
      <c r="AK4" s="11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46217</v>
      </c>
      <c r="K5" s="3" t="n">
        <v>8</v>
      </c>
      <c r="L5" s="11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3">
        <f>IF(tblOrdenes[[#This Row],[fecha_inicio]]="","",TODAY()-tblOrdenes[[#This Row],[fecha_inicio]])</f>
        <v/>
      </c>
      <c r="AB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1">
        <f>IF(tblOrdenes[[#This Row],[orden]]="","",_xlfn.XLOOKUP(tblOrdenes[[#This Row],[id_operacion]],tblEjecucion[id_operacion],tblEjecucion[precio],0))</f>
        <v/>
      </c>
      <c r="AJ5" s="11">
        <f>IF(tblOrdenes[[#This Row],[orden]]="","",MAX(0,_xlfn.XLOOKUP(tblOrdenes[[#This Row],[id_operacion]],tblEjecucion[id_operacion],tblEjecucion[costo_plan_total],0)-tblOrdenes[[#This Row],[costo_servicio]]))</f>
        <v/>
      </c>
      <c r="AK5" s="11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46218</v>
      </c>
      <c r="K6" s="3" t="n">
        <v>6</v>
      </c>
      <c r="L6" s="11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3">
        <f>IF(tblOrdenes[[#This Row],[fecha_inicio]]="","",TODAY()-tblOrdenes[[#This Row],[fecha_inicio]])</f>
        <v/>
      </c>
      <c r="AB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1">
        <f>IF(tblOrdenes[[#This Row],[orden]]="","",_xlfn.XLOOKUP(tblOrdenes[[#This Row],[id_operacion]],tblEjecucion[id_operacion],tblEjecucion[precio],0))</f>
        <v/>
      </c>
      <c r="AJ6" s="11">
        <f>IF(tblOrdenes[[#This Row],[orden]]="","",MAX(0,_xlfn.XLOOKUP(tblOrdenes[[#This Row],[id_operacion]],tblEjecucion[id_operacion],tblEjecucion[costo_plan_total],0)-tblOrdenes[[#This Row],[costo_servicio]]))</f>
        <v/>
      </c>
      <c r="AK6" s="11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46219</v>
      </c>
      <c r="K7" s="3" t="n">
        <v>10</v>
      </c>
      <c r="L7" s="11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3">
        <f>IF(tblOrdenes[[#This Row],[fecha_inicio]]="","",TODAY()-tblOrdenes[[#This Row],[fecha_inicio]])</f>
        <v/>
      </c>
      <c r="AB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1">
        <f>IF(tblOrdenes[[#This Row],[orden]]="","",_xlfn.XLOOKUP(tblOrdenes[[#This Row],[id_operacion]],tblEjecucion[id_operacion],tblEjecucion[precio],0))</f>
        <v/>
      </c>
      <c r="AJ7" s="11">
        <f>IF(tblOrdenes[[#This Row],[orden]]="","",MAX(0,_xlfn.XLOOKUP(tblOrdenes[[#This Row],[id_operacion]],tblEjecucion[id_operacion],tblEjecucion[costo_plan_total],0)-tblOrdenes[[#This Row],[costo_servicio]]))</f>
        <v/>
      </c>
      <c r="AK7" s="11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46220</v>
      </c>
      <c r="K8" s="3" t="n">
        <v>8</v>
      </c>
      <c r="L8" s="11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3">
        <f>IF(tblOrdenes[[#This Row],[fecha_inicio]]="","",TODAY()-tblOrdenes[[#This Row],[fecha_inicio]])</f>
        <v/>
      </c>
      <c r="AB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05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1">
        <f>IF(tblOrdenes[[#This Row],[orden]]="","",_xlfn.XLOOKUP(tblOrdenes[[#This Row],[id_operacion]],tblEjecucion[id_operacion],tblEjecucion[precio],0))</f>
        <v/>
      </c>
      <c r="AJ8" s="11">
        <f>IF(tblOrdenes[[#This Row],[orden]]="","",MAX(0,_xlfn.XLOOKUP(tblOrdenes[[#This Row],[id_operacion]],tblEjecucion[id_operacion],tblEjecucion[costo_plan_total],0)-tblOrdenes[[#This Row],[costo_servicio]]))</f>
        <v/>
      </c>
      <c r="AK8" s="11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46216</v>
      </c>
      <c r="K9" s="3" t="n">
        <v>6</v>
      </c>
      <c r="L9" s="11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3">
        <f>IF(tblOrdenes[[#This Row],[fecha_inicio]]="","",TODAY()-tblOrdenes[[#This Row],[fecha_inicio]])</f>
        <v/>
      </c>
      <c r="AB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06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1">
        <f>IF(tblOrdenes[[#This Row],[orden]]="","",_xlfn.XLOOKUP(tblOrdenes[[#This Row],[id_operacion]],tblEjecucion[id_operacion],tblEjecucion[precio],0))</f>
        <v/>
      </c>
      <c r="AJ9" s="11">
        <f>IF(tblOrdenes[[#This Row],[orden]]="","",MAX(0,_xlfn.XLOOKUP(tblOrdenes[[#This Row],[id_operacion]],tblEjecucion[id_operacion],tblEjecucion[costo_plan_total],0)-tblOrdenes[[#This Row],[costo_servicio]]))</f>
        <v/>
      </c>
      <c r="AK9" s="11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46217</v>
      </c>
      <c r="K10" s="3" t="n">
        <v>10</v>
      </c>
      <c r="L10" s="11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3">
        <f>IF(tblOrdenes[[#This Row],[fecha_inicio]]="","",TODAY()-tblOrdenes[[#This Row],[fecha_inicio]])</f>
        <v/>
      </c>
      <c r="AB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07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1">
        <f>IF(tblOrdenes[[#This Row],[orden]]="","",_xlfn.XLOOKUP(tblOrdenes[[#This Row],[id_operacion]],tblEjecucion[id_operacion],tblEjecucion[precio],0))</f>
        <v/>
      </c>
      <c r="AJ10" s="11">
        <f>IF(tblOrdenes[[#This Row],[orden]]="","",MAX(0,_xlfn.XLOOKUP(tblOrdenes[[#This Row],[id_operacion]],tblEjecucion[id_operacion],tblEjecucion[costo_plan_total],0)-tblOrdenes[[#This Row],[costo_servicio]]))</f>
        <v/>
      </c>
      <c r="AK10" s="11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46218</v>
      </c>
      <c r="K11" s="3" t="n">
        <v>8</v>
      </c>
      <c r="L11" s="11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3">
        <f>IF(tblOrdenes[[#This Row],[fecha_inicio]]="","",TODAY()-tblOrdenes[[#This Row],[fecha_inicio]])</f>
        <v/>
      </c>
      <c r="AB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01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1">
        <f>IF(tblOrdenes[[#This Row],[orden]]="","",_xlfn.XLOOKUP(tblOrdenes[[#This Row],[id_operacion]],tblEjecucion[id_operacion],tblEjecucion[precio],0))</f>
        <v/>
      </c>
      <c r="AJ11" s="11">
        <f>IF(tblOrdenes[[#This Row],[orden]]="","",MAX(0,_xlfn.XLOOKUP(tblOrdenes[[#This Row],[id_operacion]],tblEjecucion[id_operacion],tblEjecucion[costo_plan_total],0)-tblOrdenes[[#This Row],[costo_servicio]]))</f>
        <v/>
      </c>
      <c r="AK11" s="11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46219</v>
      </c>
      <c r="K12" s="3" t="n">
        <v>6</v>
      </c>
      <c r="L12" s="11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3">
        <f>IF(tblOrdenes[[#This Row],[fecha_inicio]]="","",TODAY()-tblOrdenes[[#This Row],[fecha_inicio]])</f>
        <v/>
      </c>
      <c r="AB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02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1">
        <f>IF(tblOrdenes[[#This Row],[orden]]="","",_xlfn.XLOOKUP(tblOrdenes[[#This Row],[id_operacion]],tblEjecucion[id_operacion],tblEjecucion[precio],0))</f>
        <v/>
      </c>
      <c r="AJ12" s="11">
        <f>IF(tblOrdenes[[#This Row],[orden]]="","",MAX(0,_xlfn.XLOOKUP(tblOrdenes[[#This Row],[id_operacion]],tblEjecucion[id_operacion],tblEjecucion[costo_plan_total],0)-tblOrdenes[[#This Row],[costo_servicio]]))</f>
        <v/>
      </c>
      <c r="AK12" s="11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46220</v>
      </c>
      <c r="K13" s="3" t="n">
        <v>8</v>
      </c>
      <c r="L13" s="11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3">
        <f>IF(tblOrdenes[[#This Row],[fecha_inicio]]="","",TODAY()-tblOrdenes[[#This Row],[fecha_inicio]])</f>
        <v/>
      </c>
      <c r="AB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03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1">
        <f>IF(tblOrdenes[[#This Row],[orden]]="","",_xlfn.XLOOKUP(tblOrdenes[[#This Row],[id_operacion]],tblEjecucion[id_operacion],tblEjecucion[precio],0))</f>
        <v/>
      </c>
      <c r="AJ13" s="11">
        <f>IF(tblOrdenes[[#This Row],[orden]]="","",MAX(0,_xlfn.XLOOKUP(tblOrdenes[[#This Row],[id_operacion]],tblEjecucion[id_operacion],tblEjecucion[costo_plan_total],0)-tblOrdenes[[#This Row],[costo_servicio]]))</f>
        <v/>
      </c>
      <c r="AK13" s="11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46216</v>
      </c>
      <c r="K14" s="3" t="n">
        <v>10</v>
      </c>
      <c r="L14" s="11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3">
        <f>IF(tblOrdenes[[#This Row],[fecha_inicio]]="","",TODAY()-tblOrdenes[[#This Row],[fecha_inicio]])</f>
        <v/>
      </c>
      <c r="AB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04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1">
        <f>IF(tblOrdenes[[#This Row],[orden]]="","",_xlfn.XLOOKUP(tblOrdenes[[#This Row],[id_operacion]],tblEjecucion[id_operacion],tblEjecucion[precio],0))</f>
        <v/>
      </c>
      <c r="AJ14" s="11">
        <f>IF(tblOrdenes[[#This Row],[orden]]="","",MAX(0,_xlfn.XLOOKUP(tblOrdenes[[#This Row],[id_operacion]],tblEjecucion[id_operacion],tblEjecucion[costo_plan_total],0)-tblOrdenes[[#This Row],[costo_servicio]]))</f>
        <v/>
      </c>
      <c r="AK14" s="11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46217</v>
      </c>
      <c r="K15" s="3" t="n">
        <v>10</v>
      </c>
      <c r="L15" s="11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3">
        <f>IF(tblOrdenes[[#This Row],[fecha_inicio]]="","",TODAY()-tblOrdenes[[#This Row],[fecha_inicio]])</f>
        <v/>
      </c>
      <c r="AB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1">
        <f>IF(tblOrdenes[[#This Row],[orden]]="","",_xlfn.XLOOKUP(tblOrdenes[[#This Row],[id_operacion]],tblEjecucion[id_operacion],tblEjecucion[precio],0))</f>
        <v/>
      </c>
      <c r="AJ15" s="11">
        <f>IF(tblOrdenes[[#This Row],[orden]]="","",MAX(0,_xlfn.XLOOKUP(tblOrdenes[[#This Row],[id_operacion]],tblEjecucion[id_operacion],tblEjecucion[costo_plan_total],0)-tblOrdenes[[#This Row],[costo_servicio]]))</f>
        <v/>
      </c>
      <c r="AK15" s="11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46225</v>
      </c>
      <c r="K16" s="3" t="n">
        <v>8</v>
      </c>
      <c r="L16" s="11" t="n">
        <v>200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3">
        <f>IF(tblOrdenes[[#This Row],[fecha_inicio]]="","",TODAY()-tblOrdenes[[#This Row],[fecha_inicio]])</f>
        <v/>
      </c>
      <c r="AB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1">
        <f>IF(tblOrdenes[[#This Row],[orden]]="","",_xlfn.XLOOKUP(tblOrdenes[[#This Row],[id_operacion]],tblEjecucion[id_operacion],tblEjecucion[precio],0))</f>
        <v/>
      </c>
      <c r="AJ16" s="11">
        <f>IF(tblOrdenes[[#This Row],[orden]]="","",MAX(0,_xlfn.XLOOKUP(tblOrdenes[[#This Row],[id_operacion]],tblEjecucion[id_operacion],tblEjecucion[costo_plan_total],0)-tblOrdenes[[#This Row],[costo_servicio]]))</f>
        <v/>
      </c>
      <c r="AK16" s="11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>
        <is>
          <t>Ajuste 8 → 12 h en hoja AJUSTES</t>
        </is>
      </c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46226</v>
      </c>
      <c r="K17" s="3" t="n">
        <v>8</v>
      </c>
      <c r="L17" s="11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3">
        <f>IF(tblOrdenes[[#This Row],[fecha_inicio]]="","",TODAY()-tblOrdenes[[#This Row],[fecha_inicio]])</f>
        <v/>
      </c>
      <c r="AB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07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1">
        <f>IF(tblOrdenes[[#This Row],[orden]]="","",_xlfn.XLOOKUP(tblOrdenes[[#This Row],[id_operacion]],tblEjecucion[id_operacion],tblEjecucion[precio],0))</f>
        <v/>
      </c>
      <c r="AJ17" s="11">
        <f>IF(tblOrdenes[[#This Row],[orden]]="","",MAX(0,_xlfn.XLOOKUP(tblOrdenes[[#This Row],[id_operacion]],tblEjecucion[id_operacion],tblEjecucion[costo_plan_total],0)-tblOrdenes[[#This Row],[costo_servicio]]))</f>
        <v/>
      </c>
      <c r="AK17" s="11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46227</v>
      </c>
      <c r="K18" s="3" t="n">
        <v>6</v>
      </c>
      <c r="L18" s="11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3">
        <f>IF(tblOrdenes[[#This Row],[fecha_inicio]]="","",TODAY()-tblOrdenes[[#This Row],[fecha_inicio]])</f>
        <v/>
      </c>
      <c r="AB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01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1">
        <f>IF(tblOrdenes[[#This Row],[orden]]="","",_xlfn.XLOOKUP(tblOrdenes[[#This Row],[id_operacion]],tblEjecucion[id_operacion],tblEjecucion[precio],0))</f>
        <v/>
      </c>
      <c r="AJ18" s="11">
        <f>IF(tblOrdenes[[#This Row],[orden]]="","",MAX(0,_xlfn.XLOOKUP(tblOrdenes[[#This Row],[id_operacion]],tblEjecucion[id_operacion],tblEjecucion[costo_plan_total],0)-tblOrdenes[[#This Row],[costo_servicio]]))</f>
        <v/>
      </c>
      <c r="AK18" s="11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46223</v>
      </c>
      <c r="K19" s="3" t="n">
        <v>10</v>
      </c>
      <c r="L19" s="11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3">
        <f>IF(tblOrdenes[[#This Row],[fecha_inicio]]="","",TODAY()-tblOrdenes[[#This Row],[fecha_inicio]])</f>
        <v/>
      </c>
      <c r="AB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02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1">
        <f>IF(tblOrdenes[[#This Row],[orden]]="","",_xlfn.XLOOKUP(tblOrdenes[[#This Row],[id_operacion]],tblEjecucion[id_operacion],tblEjecucion[precio],0))</f>
        <v/>
      </c>
      <c r="AJ19" s="11">
        <f>IF(tblOrdenes[[#This Row],[orden]]="","",MAX(0,_xlfn.XLOOKUP(tblOrdenes[[#This Row],[id_operacion]],tblEjecucion[id_operacion],tblEjecucion[costo_plan_total],0)-tblOrdenes[[#This Row],[costo_servicio]]))</f>
        <v/>
      </c>
      <c r="AK19" s="11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46224</v>
      </c>
      <c r="K20" s="3" t="n">
        <v>8</v>
      </c>
      <c r="L20" s="11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3">
        <f>IF(tblOrdenes[[#This Row],[fecha_inicio]]="","",TODAY()-tblOrdenes[[#This Row],[fecha_inicio]])</f>
        <v/>
      </c>
      <c r="AB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03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1">
        <f>IF(tblOrdenes[[#This Row],[orden]]="","",_xlfn.XLOOKUP(tblOrdenes[[#This Row],[id_operacion]],tblEjecucion[id_operacion],tblEjecucion[precio],0))</f>
        <v/>
      </c>
      <c r="AJ20" s="11">
        <f>IF(tblOrdenes[[#This Row],[orden]]="","",MAX(0,_xlfn.XLOOKUP(tblOrdenes[[#This Row],[id_operacion]],tblEjecucion[id_operacion],tblEjecucion[costo_plan_total],0)-tblOrdenes[[#This Row],[costo_servicio]]))</f>
        <v/>
      </c>
      <c r="AK20" s="11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/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46225</v>
      </c>
      <c r="K21" s="3" t="n">
        <v>6</v>
      </c>
      <c r="L21" s="11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3">
        <f>IF(tblOrdenes[[#This Row],[fecha_inicio]]="","",TODAY()-tblOrdenes[[#This Row],[fecha_inicio]])</f>
        <v/>
      </c>
      <c r="AB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04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1">
        <f>IF(tblOrdenes[[#This Row],[orden]]="","",_xlfn.XLOOKUP(tblOrdenes[[#This Row],[id_operacion]],tblEjecucion[id_operacion],tblEjecucion[precio],0))</f>
        <v/>
      </c>
      <c r="AJ21" s="11">
        <f>IF(tblOrdenes[[#This Row],[orden]]="","",MAX(0,_xlfn.XLOOKUP(tblOrdenes[[#This Row],[id_operacion]],tblEjecucion[id_operacion],tblEjecucion[costo_plan_total],0)-tblOrdenes[[#This Row],[costo_servicio]]))</f>
        <v/>
      </c>
      <c r="AK21" s="11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46226</v>
      </c>
      <c r="K22" s="3" t="n">
        <v>10</v>
      </c>
      <c r="L22" s="11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3">
        <f>IF(tblOrdenes[[#This Row],[fecha_inicio]]="","",TODAY()-tblOrdenes[[#This Row],[fecha_inicio]])</f>
        <v/>
      </c>
      <c r="AB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>
        <is>
          <t>Técnico 05</t>
        </is>
      </c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1">
        <f>IF(tblOrdenes[[#This Row],[orden]]="","",_xlfn.XLOOKUP(tblOrdenes[[#This Row],[id_operacion]],tblEjecucion[id_operacion],tblEjecucion[precio],0))</f>
        <v/>
      </c>
      <c r="AJ22" s="11">
        <f>IF(tblOrdenes[[#This Row],[orden]]="","",MAX(0,_xlfn.XLOOKUP(tblOrdenes[[#This Row],[id_operacion]],tblEjecucion[id_operacion],tblEjecucion[costo_plan_total],0)-tblOrdenes[[#This Row],[costo_servicio]]))</f>
        <v/>
      </c>
      <c r="AK22" s="11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46227</v>
      </c>
      <c r="K23" s="3" t="n">
        <v>8</v>
      </c>
      <c r="L23" s="11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3">
        <f>IF(tblOrdenes[[#This Row],[fecha_inicio]]="","",TODAY()-tblOrdenes[[#This Row],[fecha_inicio]])</f>
        <v/>
      </c>
      <c r="AB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06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1">
        <f>IF(tblOrdenes[[#This Row],[orden]]="","",_xlfn.XLOOKUP(tblOrdenes[[#This Row],[id_operacion]],tblEjecucion[id_operacion],tblEjecucion[precio],0))</f>
        <v/>
      </c>
      <c r="AJ23" s="11">
        <f>IF(tblOrdenes[[#This Row],[orden]]="","",MAX(0,_xlfn.XLOOKUP(tblOrdenes[[#This Row],[id_operacion]],tblEjecucion[id_operacion],tblEjecucion[costo_plan_total],0)-tblOrdenes[[#This Row],[costo_servicio]]))</f>
        <v/>
      </c>
      <c r="AK23" s="11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46223</v>
      </c>
      <c r="K24" s="3" t="n">
        <v>6</v>
      </c>
      <c r="L24" s="11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3">
        <f>IF(tblOrdenes[[#This Row],[fecha_inicio]]="","",TODAY()-tblOrdenes[[#This Row],[fecha_inicio]])</f>
        <v/>
      </c>
      <c r="AB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07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1">
        <f>IF(tblOrdenes[[#This Row],[orden]]="","",_xlfn.XLOOKUP(tblOrdenes[[#This Row],[id_operacion]],tblEjecucion[id_operacion],tblEjecucion[precio],0))</f>
        <v/>
      </c>
      <c r="AJ24" s="11">
        <f>IF(tblOrdenes[[#This Row],[orden]]="","",MAX(0,_xlfn.XLOOKUP(tblOrdenes[[#This Row],[id_operacion]],tblEjecucion[id_operacion],tblEjecucion[costo_plan_total],0)-tblOrdenes[[#This Row],[costo_servicio]]))</f>
        <v/>
      </c>
      <c r="AK24" s="11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46224</v>
      </c>
      <c r="K25" s="3" t="n">
        <v>8</v>
      </c>
      <c r="L25" s="11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3">
        <f>IF(tblOrdenes[[#This Row],[fecha_inicio]]="","",TODAY()-tblOrdenes[[#This Row],[fecha_inicio]])</f>
        <v/>
      </c>
      <c r="AB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01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1">
        <f>IF(tblOrdenes[[#This Row],[orden]]="","",_xlfn.XLOOKUP(tblOrdenes[[#This Row],[id_operacion]],tblEjecucion[id_operacion],tblEjecucion[precio],0))</f>
        <v/>
      </c>
      <c r="AJ25" s="11">
        <f>IF(tblOrdenes[[#This Row],[orden]]="","",MAX(0,_xlfn.XLOOKUP(tblOrdenes[[#This Row],[id_operacion]],tblEjecucion[id_operacion],tblEjecucion[costo_plan_total],0)-tblOrdenes[[#This Row],[costo_servicio]]))</f>
        <v/>
      </c>
      <c r="AK25" s="11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46225</v>
      </c>
      <c r="K26" s="3" t="n">
        <v>10</v>
      </c>
      <c r="L26" s="11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3">
        <f>IF(tblOrdenes[[#This Row],[fecha_inicio]]="","",TODAY()-tblOrdenes[[#This Row],[fecha_inicio]])</f>
        <v/>
      </c>
      <c r="AB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02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1">
        <f>IF(tblOrdenes[[#This Row],[orden]]="","",_xlfn.XLOOKUP(tblOrdenes[[#This Row],[id_operacion]],tblEjecucion[id_operacion],tblEjecucion[precio],0))</f>
        <v/>
      </c>
      <c r="AJ26" s="11">
        <f>IF(tblOrdenes[[#This Row],[orden]]="","",MAX(0,_xlfn.XLOOKUP(tblOrdenes[[#This Row],[id_operacion]],tblEjecucion[id_operacion],tblEjecucion[costo_plan_total],0)-tblOrdenes[[#This Row],[costo_servicio]]))</f>
        <v/>
      </c>
      <c r="AK26" s="11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46226</v>
      </c>
      <c r="K27" s="3" t="n">
        <v>8</v>
      </c>
      <c r="L27" s="11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3">
        <f>IF(tblOrdenes[[#This Row],[fecha_inicio]]="","",TODAY()-tblOrdenes[[#This Row],[fecha_inicio]])</f>
        <v/>
      </c>
      <c r="AB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1">
        <f>IF(tblOrdenes[[#This Row],[orden]]="","",_xlfn.XLOOKUP(tblOrdenes[[#This Row],[id_operacion]],tblEjecucion[id_operacion],tblEjecucion[precio],0))</f>
        <v/>
      </c>
      <c r="AJ27" s="11">
        <f>IF(tblOrdenes[[#This Row],[orden]]="","",MAX(0,_xlfn.XLOOKUP(tblOrdenes[[#This Row],[id_operacion]],tblEjecucion[id_operacion],tblEjecucion[costo_plan_total],0)-tblOrdenes[[#This Row],[costo_servicio]]))</f>
        <v/>
      </c>
      <c r="AK27" s="11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46227</v>
      </c>
      <c r="K28" s="3" t="n">
        <v>7</v>
      </c>
      <c r="L28" s="11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3">
        <f>IF(tblOrdenes[[#This Row],[fecha_inicio]]="","",TODAY()-tblOrdenes[[#This Row],[fecha_inicio]])</f>
        <v/>
      </c>
      <c r="AB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04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1">
        <f>IF(tblOrdenes[[#This Row],[orden]]="","",_xlfn.XLOOKUP(tblOrdenes[[#This Row],[id_operacion]],tblEjecucion[id_operacion],tblEjecucion[precio],0))</f>
        <v/>
      </c>
      <c r="AJ28" s="11">
        <f>IF(tblOrdenes[[#This Row],[orden]]="","",MAX(0,_xlfn.XLOOKUP(tblOrdenes[[#This Row],[id_operacion]],tblEjecucion[id_operacion],tblEjecucion[costo_plan_total],0)-tblOrdenes[[#This Row],[costo_servicio]]))</f>
        <v/>
      </c>
      <c r="AK28" s="11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46230</v>
      </c>
      <c r="K29" s="3" t="n">
        <v>10</v>
      </c>
      <c r="L29" s="11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3">
        <f>IF(tblOrdenes[[#This Row],[fecha_inicio]]="","",TODAY()-tblOrdenes[[#This Row],[fecha_inicio]])</f>
        <v/>
      </c>
      <c r="AB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02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1">
        <f>IF(tblOrdenes[[#This Row],[orden]]="","",_xlfn.XLOOKUP(tblOrdenes[[#This Row],[id_operacion]],tblEjecucion[id_operacion],tblEjecucion[precio],0))</f>
        <v/>
      </c>
      <c r="AJ29" s="11">
        <f>IF(tblOrdenes[[#This Row],[orden]]="","",MAX(0,_xlfn.XLOOKUP(tblOrdenes[[#This Row],[id_operacion]],tblEjecucion[id_operacion],tblEjecucion[costo_plan_total],0)-tblOrdenes[[#This Row],[costo_servicio]]))</f>
        <v/>
      </c>
      <c r="AK29" s="11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/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46231</v>
      </c>
      <c r="K30" s="3" t="n">
        <v>8</v>
      </c>
      <c r="L30" s="11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3">
        <f>IF(tblOrdenes[[#This Row],[fecha_inicio]]="","",TODAY()-tblOrdenes[[#This Row],[fecha_inicio]])</f>
        <v/>
      </c>
      <c r="AB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1">
        <f>IF(tblOrdenes[[#This Row],[orden]]="","",_xlfn.XLOOKUP(tblOrdenes[[#This Row],[id_operacion]],tblEjecucion[id_operacion],tblEjecucion[precio],0))</f>
        <v/>
      </c>
      <c r="AJ30" s="11">
        <f>IF(tblOrdenes[[#This Row],[orden]]="","",MAX(0,_xlfn.XLOOKUP(tblOrdenes[[#This Row],[id_operacion]],tblEjecucion[id_operacion],tblEjecucion[costo_plan_total],0)-tblOrdenes[[#This Row],[costo_servicio]]))</f>
        <v/>
      </c>
      <c r="AK30" s="11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46232</v>
      </c>
      <c r="K31" s="3" t="n">
        <v>6</v>
      </c>
      <c r="L31" s="11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3">
        <f>IF(tblOrdenes[[#This Row],[fecha_inicio]]="","",TODAY()-tblOrdenes[[#This Row],[fecha_inicio]])</f>
        <v/>
      </c>
      <c r="AB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>
        <is>
          <t>Técnico 05</t>
        </is>
      </c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1">
        <f>IF(tblOrdenes[[#This Row],[orden]]="","",_xlfn.XLOOKUP(tblOrdenes[[#This Row],[id_operacion]],tblEjecucion[id_operacion],tblEjecucion[precio],0))</f>
        <v/>
      </c>
      <c r="AJ31" s="11">
        <f>IF(tblOrdenes[[#This Row],[orden]]="","",MAX(0,_xlfn.XLOOKUP(tblOrdenes[[#This Row],[id_operacion]],tblEjecucion[id_operacion],tblEjecucion[costo_plan_total],0)-tblOrdenes[[#This Row],[costo_servicio]]))</f>
        <v/>
      </c>
      <c r="AK31" s="11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46233</v>
      </c>
      <c r="K32" s="3" t="n">
        <v>10</v>
      </c>
      <c r="L32" s="11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3">
        <f>IF(tblOrdenes[[#This Row],[fecha_inicio]]="","",TODAY()-tblOrdenes[[#This Row],[fecha_inicio]])</f>
        <v/>
      </c>
      <c r="AB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06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1">
        <f>IF(tblOrdenes[[#This Row],[orden]]="","",_xlfn.XLOOKUP(tblOrdenes[[#This Row],[id_operacion]],tblEjecucion[id_operacion],tblEjecucion[precio],0))</f>
        <v/>
      </c>
      <c r="AJ32" s="11">
        <f>IF(tblOrdenes[[#This Row],[orden]]="","",MAX(0,_xlfn.XLOOKUP(tblOrdenes[[#This Row],[id_operacion]],tblEjecucion[id_operacion],tblEjecucion[costo_plan_total],0)-tblOrdenes[[#This Row],[costo_servicio]]))</f>
        <v/>
      </c>
      <c r="AK32" s="11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46234</v>
      </c>
      <c r="K33" s="3" t="n">
        <v>8</v>
      </c>
      <c r="L33" s="11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3">
        <f>IF(tblOrdenes[[#This Row],[fecha_inicio]]="","",TODAY()-tblOrdenes[[#This Row],[fecha_inicio]])</f>
        <v/>
      </c>
      <c r="AB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07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1">
        <f>IF(tblOrdenes[[#This Row],[orden]]="","",_xlfn.XLOOKUP(tblOrdenes[[#This Row],[id_operacion]],tblEjecucion[id_operacion],tblEjecucion[precio],0))</f>
        <v/>
      </c>
      <c r="AJ33" s="11">
        <f>IF(tblOrdenes[[#This Row],[orden]]="","",MAX(0,_xlfn.XLOOKUP(tblOrdenes[[#This Row],[id_operacion]],tblEjecucion[id_operacion],tblEjecucion[costo_plan_total],0)-tblOrdenes[[#This Row],[costo_servicio]]))</f>
        <v/>
      </c>
      <c r="AK33" s="11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46230</v>
      </c>
      <c r="K34" s="3" t="n">
        <v>6</v>
      </c>
      <c r="L34" s="11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3">
        <f>IF(tblOrdenes[[#This Row],[fecha_inicio]]="","",TODAY()-tblOrdenes[[#This Row],[fecha_inicio]])</f>
        <v/>
      </c>
      <c r="AB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1">
        <f>IF(tblOrdenes[[#This Row],[orden]]="","",_xlfn.XLOOKUP(tblOrdenes[[#This Row],[id_operacion]],tblEjecucion[id_operacion],tblEjecucion[precio],0))</f>
        <v/>
      </c>
      <c r="AJ34" s="11">
        <f>IF(tblOrdenes[[#This Row],[orden]]="","",MAX(0,_xlfn.XLOOKUP(tblOrdenes[[#This Row],[id_operacion]],tblEjecucion[id_operacion],tblEjecucion[costo_plan_total],0)-tblOrdenes[[#This Row],[costo_servicio]]))</f>
        <v/>
      </c>
      <c r="AK34" s="11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46231</v>
      </c>
      <c r="K35" s="3" t="n">
        <v>10</v>
      </c>
      <c r="L35" s="11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3">
        <f>IF(tblOrdenes[[#This Row],[fecha_inicio]]="","",TODAY()-tblOrdenes[[#This Row],[fecha_inicio]])</f>
        <v/>
      </c>
      <c r="AB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1">
        <f>IF(tblOrdenes[[#This Row],[orden]]="","",_xlfn.XLOOKUP(tblOrdenes[[#This Row],[id_operacion]],tblEjecucion[id_operacion],tblEjecucion[precio],0))</f>
        <v/>
      </c>
      <c r="AJ35" s="11">
        <f>IF(tblOrdenes[[#This Row],[orden]]="","",MAX(0,_xlfn.XLOOKUP(tblOrdenes[[#This Row],[id_operacion]],tblEjecucion[id_operacion],tblEjecucion[costo_plan_total],0)-tblOrdenes[[#This Row],[costo_servicio]]))</f>
        <v/>
      </c>
      <c r="AK35" s="11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46232</v>
      </c>
      <c r="K36" s="3" t="n">
        <v>8</v>
      </c>
      <c r="L36" s="11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3">
        <f>IF(tblOrdenes[[#This Row],[fecha_inicio]]="","",TODAY()-tblOrdenes[[#This Row],[fecha_inicio]])</f>
        <v/>
      </c>
      <c r="AB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1">
        <f>IF(tblOrdenes[[#This Row],[orden]]="","",_xlfn.XLOOKUP(tblOrdenes[[#This Row],[id_operacion]],tblEjecucion[id_operacion],tblEjecucion[precio],0))</f>
        <v/>
      </c>
      <c r="AJ36" s="11">
        <f>IF(tblOrdenes[[#This Row],[orden]]="","",MAX(0,_xlfn.XLOOKUP(tblOrdenes[[#This Row],[id_operacion]],tblEjecucion[id_operacion],tblEjecucion[costo_plan_total],0)-tblOrdenes[[#This Row],[costo_servicio]]))</f>
        <v/>
      </c>
      <c r="AK36" s="11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46233</v>
      </c>
      <c r="K37" s="3" t="n">
        <v>6</v>
      </c>
      <c r="L37" s="11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3">
        <f>IF(tblOrdenes[[#This Row],[fecha_inicio]]="","",TODAY()-tblOrdenes[[#This Row],[fecha_inicio]])</f>
        <v/>
      </c>
      <c r="AB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>
        <is>
          <t>Técnico 05</t>
        </is>
      </c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1">
        <f>IF(tblOrdenes[[#This Row],[orden]]="","",_xlfn.XLOOKUP(tblOrdenes[[#This Row],[id_operacion]],tblEjecucion[id_operacion],tblEjecucion[precio],0))</f>
        <v/>
      </c>
      <c r="AJ37" s="11">
        <f>IF(tblOrdenes[[#This Row],[orden]]="","",MAX(0,_xlfn.XLOOKUP(tblOrdenes[[#This Row],[id_operacion]],tblEjecucion[id_operacion],tblEjecucion[costo_plan_total],0)-tblOrdenes[[#This Row],[costo_servicio]]))</f>
        <v/>
      </c>
      <c r="AK37" s="11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46234</v>
      </c>
      <c r="K38" s="3" t="n">
        <v>8</v>
      </c>
      <c r="L38" s="11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3">
        <f>IF(tblOrdenes[[#This Row],[fecha_inicio]]="","",TODAY()-tblOrdenes[[#This Row],[fecha_inicio]])</f>
        <v/>
      </c>
      <c r="AB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06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1">
        <f>IF(tblOrdenes[[#This Row],[orden]]="","",_xlfn.XLOOKUP(tblOrdenes[[#This Row],[id_operacion]],tblEjecucion[id_operacion],tblEjecucion[precio],0))</f>
        <v/>
      </c>
      <c r="AJ38" s="11">
        <f>IF(tblOrdenes[[#This Row],[orden]]="","",MAX(0,_xlfn.XLOOKUP(tblOrdenes[[#This Row],[id_operacion]],tblEjecucion[id_operacion],tblEjecucion[costo_plan_total],0)-tblOrdenes[[#This Row],[costo_servicio]]))</f>
        <v/>
      </c>
      <c r="AK38" s="11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46230</v>
      </c>
      <c r="K39" s="3" t="n">
        <v>10</v>
      </c>
      <c r="L39" s="11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3">
        <f>IF(tblOrdenes[[#This Row],[fecha_inicio]]="","",TODAY()-tblOrdenes[[#This Row],[fecha_inicio]])</f>
        <v/>
      </c>
      <c r="AB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1">
        <f>IF(tblOrdenes[[#This Row],[orden]]="","",_xlfn.XLOOKUP(tblOrdenes[[#This Row],[id_operacion]],tblEjecucion[id_operacion],tblEjecucion[precio],0))</f>
        <v/>
      </c>
      <c r="AJ39" s="11">
        <f>IF(tblOrdenes[[#This Row],[orden]]="","",MAX(0,_xlfn.XLOOKUP(tblOrdenes[[#This Row],[id_operacion]],tblEjecucion[id_operacion],tblEjecucion[costo_plan_total],0)-tblOrdenes[[#This Row],[costo_servicio]]))</f>
        <v/>
      </c>
      <c r="AK39" s="11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46231</v>
      </c>
      <c r="K40" s="3" t="n">
        <v>10</v>
      </c>
      <c r="L40" s="11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3">
        <f>IF(tblOrdenes[[#This Row],[fecha_inicio]]="","",TODAY()-tblOrdenes[[#This Row],[fecha_inicio]])</f>
        <v/>
      </c>
      <c r="AB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1">
        <f>IF(tblOrdenes[[#This Row],[orden]]="","",_xlfn.XLOOKUP(tblOrdenes[[#This Row],[id_operacion]],tblEjecucion[id_operacion],tblEjecucion[precio],0))</f>
        <v/>
      </c>
      <c r="AJ40" s="11">
        <f>IF(tblOrdenes[[#This Row],[orden]]="","",MAX(0,_xlfn.XLOOKUP(tblOrdenes[[#This Row],[id_operacion]],tblEjecucion[id_operacion],tblEjecucion[costo_plan_total],0)-tblOrdenes[[#This Row],[costo_servicio]]))</f>
        <v/>
      </c>
      <c r="AK40" s="11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46239</v>
      </c>
      <c r="K41" s="3" t="n">
        <v>10</v>
      </c>
      <c r="L41" s="11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3">
        <f>IF(tblOrdenes[[#This Row],[fecha_inicio]]="","",TODAY()-tblOrdenes[[#This Row],[fecha_inicio]])</f>
        <v/>
      </c>
      <c r="AB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03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1">
        <f>IF(tblOrdenes[[#This Row],[orden]]="","",_xlfn.XLOOKUP(tblOrdenes[[#This Row],[id_operacion]],tblEjecucion[id_operacion],tblEjecucion[precio],0))</f>
        <v/>
      </c>
      <c r="AJ41" s="11">
        <f>IF(tblOrdenes[[#This Row],[orden]]="","",MAX(0,_xlfn.XLOOKUP(tblOrdenes[[#This Row],[id_operacion]],tblEjecucion[id_operacion],tblEjecucion[costo_plan_total],0)-tblOrdenes[[#This Row],[costo_servicio]]))</f>
        <v/>
      </c>
      <c r="AK41" s="11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46240</v>
      </c>
      <c r="K42" s="3" t="n">
        <v>8</v>
      </c>
      <c r="L42" s="11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3">
        <f>IF(tblOrdenes[[#This Row],[fecha_inicio]]="","",TODAY()-tblOrdenes[[#This Row],[fecha_inicio]])</f>
        <v/>
      </c>
      <c r="AB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04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1">
        <f>IF(tblOrdenes[[#This Row],[orden]]="","",_xlfn.XLOOKUP(tblOrdenes[[#This Row],[id_operacion]],tblEjecucion[id_operacion],tblEjecucion[precio],0))</f>
        <v/>
      </c>
      <c r="AJ42" s="11">
        <f>IF(tblOrdenes[[#This Row],[orden]]="","",MAX(0,_xlfn.XLOOKUP(tblOrdenes[[#This Row],[id_operacion]],tblEjecucion[id_operacion],tblEjecucion[costo_plan_total],0)-tblOrdenes[[#This Row],[costo_servicio]]))</f>
        <v/>
      </c>
      <c r="AK42" s="11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46241</v>
      </c>
      <c r="K43" s="3" t="n">
        <v>6</v>
      </c>
      <c r="L43" s="11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3">
        <f>IF(tblOrdenes[[#This Row],[fecha_inicio]]="","",TODAY()-tblOrdenes[[#This Row],[fecha_inicio]])</f>
        <v/>
      </c>
      <c r="AB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>
        <is>
          <t>Técnico 05</t>
        </is>
      </c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1">
        <f>IF(tblOrdenes[[#This Row],[orden]]="","",_xlfn.XLOOKUP(tblOrdenes[[#This Row],[id_operacion]],tblEjecucion[id_operacion],tblEjecucion[precio],0))</f>
        <v/>
      </c>
      <c r="AJ43" s="11">
        <f>IF(tblOrdenes[[#This Row],[orden]]="","",MAX(0,_xlfn.XLOOKUP(tblOrdenes[[#This Row],[id_operacion]],tblEjecucion[id_operacion],tblEjecucion[costo_plan_total],0)-tblOrdenes[[#This Row],[costo_servicio]]))</f>
        <v/>
      </c>
      <c r="AK43" s="11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46237</v>
      </c>
      <c r="K44" s="3" t="n">
        <v>10</v>
      </c>
      <c r="L44" s="11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3">
        <f>IF(tblOrdenes[[#This Row],[fecha_inicio]]="","",TODAY()-tblOrdenes[[#This Row],[fecha_inicio]])</f>
        <v/>
      </c>
      <c r="AB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06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1">
        <f>IF(tblOrdenes[[#This Row],[orden]]="","",_xlfn.XLOOKUP(tblOrdenes[[#This Row],[id_operacion]],tblEjecucion[id_operacion],tblEjecucion[precio],0))</f>
        <v/>
      </c>
      <c r="AJ44" s="11">
        <f>IF(tblOrdenes[[#This Row],[orden]]="","",MAX(0,_xlfn.XLOOKUP(tblOrdenes[[#This Row],[id_operacion]],tblEjecucion[id_operacion],tblEjecucion[costo_plan_total],0)-tblOrdenes[[#This Row],[costo_servicio]]))</f>
        <v/>
      </c>
      <c r="AK44" s="11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46238</v>
      </c>
      <c r="K45" s="3" t="n">
        <v>8</v>
      </c>
      <c r="L45" s="11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3">
        <f>IF(tblOrdenes[[#This Row],[fecha_inicio]]="","",TODAY()-tblOrdenes[[#This Row],[fecha_inicio]])</f>
        <v/>
      </c>
      <c r="AB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07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1">
        <f>IF(tblOrdenes[[#This Row],[orden]]="","",_xlfn.XLOOKUP(tblOrdenes[[#This Row],[id_operacion]],tblEjecucion[id_operacion],tblEjecucion[precio],0))</f>
        <v/>
      </c>
      <c r="AJ45" s="11">
        <f>IF(tblOrdenes[[#This Row],[orden]]="","",MAX(0,_xlfn.XLOOKUP(tblOrdenes[[#This Row],[id_operacion]],tblEjecucion[id_operacion],tblEjecucion[costo_plan_total],0)-tblOrdenes[[#This Row],[costo_servicio]]))</f>
        <v/>
      </c>
      <c r="AK45" s="11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46239</v>
      </c>
      <c r="K46" s="3" t="n">
        <v>6</v>
      </c>
      <c r="L46" s="11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3">
        <f>IF(tblOrdenes[[#This Row],[fecha_inicio]]="","",TODAY()-tblOrdenes[[#This Row],[fecha_inicio]])</f>
        <v/>
      </c>
      <c r="AB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01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1">
        <f>IF(tblOrdenes[[#This Row],[orden]]="","",_xlfn.XLOOKUP(tblOrdenes[[#This Row],[id_operacion]],tblEjecucion[id_operacion],tblEjecucion[precio],0))</f>
        <v/>
      </c>
      <c r="AJ46" s="11">
        <f>IF(tblOrdenes[[#This Row],[orden]]="","",MAX(0,_xlfn.XLOOKUP(tblOrdenes[[#This Row],[id_operacion]],tblEjecucion[id_operacion],tblEjecucion[costo_plan_total],0)-tblOrdenes[[#This Row],[costo_servicio]]))</f>
        <v/>
      </c>
      <c r="AK46" s="11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46240</v>
      </c>
      <c r="K47" s="3" t="n">
        <v>10</v>
      </c>
      <c r="L47" s="11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3">
        <f>IF(tblOrdenes[[#This Row],[fecha_inicio]]="","",TODAY()-tblOrdenes[[#This Row],[fecha_inicio]])</f>
        <v/>
      </c>
      <c r="AB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02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1">
        <f>IF(tblOrdenes[[#This Row],[orden]]="","",_xlfn.XLOOKUP(tblOrdenes[[#This Row],[id_operacion]],tblEjecucion[id_operacion],tblEjecucion[precio],0))</f>
        <v/>
      </c>
      <c r="AJ47" s="11">
        <f>IF(tblOrdenes[[#This Row],[orden]]="","",MAX(0,_xlfn.XLOOKUP(tblOrdenes[[#This Row],[id_operacion]],tblEjecucion[id_operacion],tblEjecucion[costo_plan_total],0)-tblOrdenes[[#This Row],[costo_servicio]]))</f>
        <v/>
      </c>
      <c r="AK47" s="11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46241</v>
      </c>
      <c r="K48" s="3" t="n">
        <v>8</v>
      </c>
      <c r="L48" s="11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3">
        <f>IF(tblOrdenes[[#This Row],[fecha_inicio]]="","",TODAY()-tblOrdenes[[#This Row],[fecha_inicio]])</f>
        <v/>
      </c>
      <c r="AB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03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1">
        <f>IF(tblOrdenes[[#This Row],[orden]]="","",_xlfn.XLOOKUP(tblOrdenes[[#This Row],[id_operacion]],tblEjecucion[id_operacion],tblEjecucion[precio],0))</f>
        <v/>
      </c>
      <c r="AJ48" s="11">
        <f>IF(tblOrdenes[[#This Row],[orden]]="","",MAX(0,_xlfn.XLOOKUP(tblOrdenes[[#This Row],[id_operacion]],tblEjecucion[id_operacion],tblEjecucion[costo_plan_total],0)-tblOrdenes[[#This Row],[costo_servicio]]))</f>
        <v/>
      </c>
      <c r="AK48" s="11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46237</v>
      </c>
      <c r="K49" s="3" t="n">
        <v>4</v>
      </c>
      <c r="L49" s="11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3">
        <f>IF(tblOrdenes[[#This Row],[fecha_inicio]]="","",TODAY()-tblOrdenes[[#This Row],[fecha_inicio]])</f>
        <v/>
      </c>
      <c r="AB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04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1">
        <f>IF(tblOrdenes[[#This Row],[orden]]="","",_xlfn.XLOOKUP(tblOrdenes[[#This Row],[id_operacion]],tblEjecucion[id_operacion],tblEjecucion[precio],0))</f>
        <v/>
      </c>
      <c r="AJ49" s="11">
        <f>IF(tblOrdenes[[#This Row],[orden]]="","",MAX(0,_xlfn.XLOOKUP(tblOrdenes[[#This Row],[id_operacion]],tblEjecucion[id_operacion],tblEjecucion[costo_plan_total],0)-tblOrdenes[[#This Row],[costo_servicio]]))</f>
        <v/>
      </c>
      <c r="AK49" s="11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46238</v>
      </c>
      <c r="K50" s="3" t="n">
        <v>10</v>
      </c>
      <c r="L50" s="11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3">
        <f>IF(tblOrdenes[[#This Row],[fecha_inicio]]="","",TODAY()-tblOrdenes[[#This Row],[fecha_inicio]])</f>
        <v/>
      </c>
      <c r="AB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>
        <is>
          <t>Técnico 05</t>
        </is>
      </c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1">
        <f>IF(tblOrdenes[[#This Row],[orden]]="","",_xlfn.XLOOKUP(tblOrdenes[[#This Row],[id_operacion]],tblEjecucion[id_operacion],tblEjecucion[precio],0))</f>
        <v/>
      </c>
      <c r="AJ50" s="11">
        <f>IF(tblOrdenes[[#This Row],[orden]]="","",MAX(0,_xlfn.XLOOKUP(tblOrdenes[[#This Row],[id_operacion]],tblEjecucion[id_operacion],tblEjecucion[costo_plan_total],0)-tblOrdenes[[#This Row],[costo_servicio]]))</f>
        <v/>
      </c>
      <c r="AK50" s="11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46239</v>
      </c>
      <c r="K51" s="3" t="n">
        <v>4</v>
      </c>
      <c r="L51" s="11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3">
        <f>IF(tblOrdenes[[#This Row],[fecha_inicio]]="","",TODAY()-tblOrdenes[[#This Row],[fecha_inicio]])</f>
        <v/>
      </c>
      <c r="AB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1">
        <f>IF(tblOrdenes[[#This Row],[orden]]="","",_xlfn.XLOOKUP(tblOrdenes[[#This Row],[id_operacion]],tblEjecucion[id_operacion],tblEjecucion[precio],0))</f>
        <v/>
      </c>
      <c r="AJ51" s="11">
        <f>IF(tblOrdenes[[#This Row],[orden]]="","",MAX(0,_xlfn.XLOOKUP(tblOrdenes[[#This Row],[id_operacion]],tblEjecucion[id_operacion],tblEjecucion[costo_plan_total],0)-tblOrdenes[[#This Row],[costo_servicio]]))</f>
        <v/>
      </c>
      <c r="AK51" s="11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46219</v>
      </c>
      <c r="K52" s="3" t="n">
        <v>10</v>
      </c>
      <c r="L52" s="11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3">
        <f>IF(tblOrdenes[[#This Row],[fecha_inicio]]="","",TODAY()-tblOrdenes[[#This Row],[fecha_inicio]])</f>
        <v/>
      </c>
      <c r="AB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14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1">
        <f>IF(tblOrdenes[[#This Row],[orden]]="","",_xlfn.XLOOKUP(tblOrdenes[[#This Row],[id_operacion]],tblEjecucion[id_operacion],tblEjecucion[precio],0))</f>
        <v/>
      </c>
      <c r="AJ52" s="11">
        <f>IF(tblOrdenes[[#This Row],[orden]]="","",MAX(0,_xlfn.XLOOKUP(tblOrdenes[[#This Row],[id_operacion]],tblEjecucion[id_operacion],tblEjecucion[costo_plan_total],0)-tblOrdenes[[#This Row],[costo_servicio]]))</f>
        <v/>
      </c>
      <c r="AK52" s="11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46220</v>
      </c>
      <c r="K53" s="3" t="n">
        <v>8</v>
      </c>
      <c r="L53" s="11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3">
        <f>IF(tblOrdenes[[#This Row],[fecha_inicio]]="","",TODAY()-tblOrdenes[[#This Row],[fecha_inicio]])</f>
        <v/>
      </c>
      <c r="AB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08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1">
        <f>IF(tblOrdenes[[#This Row],[orden]]="","",_xlfn.XLOOKUP(tblOrdenes[[#This Row],[id_operacion]],tblEjecucion[id_operacion],tblEjecucion[precio],0))</f>
        <v/>
      </c>
      <c r="AJ53" s="11">
        <f>IF(tblOrdenes[[#This Row],[orden]]="","",MAX(0,_xlfn.XLOOKUP(tblOrdenes[[#This Row],[id_operacion]],tblEjecucion[id_operacion],tblEjecucion[costo_plan_total],0)-tblOrdenes[[#This Row],[costo_servicio]]))</f>
        <v/>
      </c>
      <c r="AK53" s="11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46216</v>
      </c>
      <c r="K54" s="3" t="n">
        <v>6</v>
      </c>
      <c r="L54" s="11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3">
        <f>IF(tblOrdenes[[#This Row],[fecha_inicio]]="","",TODAY()-tblOrdenes[[#This Row],[fecha_inicio]])</f>
        <v/>
      </c>
      <c r="AB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09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1">
        <f>IF(tblOrdenes[[#This Row],[orden]]="","",_xlfn.XLOOKUP(tblOrdenes[[#This Row],[id_operacion]],tblEjecucion[id_operacion],tblEjecucion[precio],0))</f>
        <v/>
      </c>
      <c r="AJ54" s="11">
        <f>IF(tblOrdenes[[#This Row],[orden]]="","",MAX(0,_xlfn.XLOOKUP(tblOrdenes[[#This Row],[id_operacion]],tblEjecucion[id_operacion],tblEjecucion[costo_plan_total],0)-tblOrdenes[[#This Row],[costo_servicio]]))</f>
        <v/>
      </c>
      <c r="AK54" s="11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46217</v>
      </c>
      <c r="K55" s="3" t="n">
        <v>10</v>
      </c>
      <c r="L55" s="11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3">
        <f>IF(tblOrdenes[[#This Row],[fecha_inicio]]="","",TODAY()-tblOrdenes[[#This Row],[fecha_inicio]])</f>
        <v/>
      </c>
      <c r="AB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10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1">
        <f>IF(tblOrdenes[[#This Row],[orden]]="","",_xlfn.XLOOKUP(tblOrdenes[[#This Row],[id_operacion]],tblEjecucion[id_operacion],tblEjecucion[precio],0))</f>
        <v/>
      </c>
      <c r="AJ55" s="11">
        <f>IF(tblOrdenes[[#This Row],[orden]]="","",MAX(0,_xlfn.XLOOKUP(tblOrdenes[[#This Row],[id_operacion]],tblEjecucion[id_operacion],tblEjecucion[costo_plan_total],0)-tblOrdenes[[#This Row],[costo_servicio]]))</f>
        <v/>
      </c>
      <c r="AK55" s="11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46218</v>
      </c>
      <c r="K56" s="3" t="n">
        <v>8</v>
      </c>
      <c r="L56" s="11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3">
        <f>IF(tblOrdenes[[#This Row],[fecha_inicio]]="","",TODAY()-tblOrdenes[[#This Row],[fecha_inicio]])</f>
        <v/>
      </c>
      <c r="AB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11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1">
        <f>IF(tblOrdenes[[#This Row],[orden]]="","",_xlfn.XLOOKUP(tblOrdenes[[#This Row],[id_operacion]],tblEjecucion[id_operacion],tblEjecucion[precio],0))</f>
        <v/>
      </c>
      <c r="AJ56" s="11">
        <f>IF(tblOrdenes[[#This Row],[orden]]="","",MAX(0,_xlfn.XLOOKUP(tblOrdenes[[#This Row],[id_operacion]],tblEjecucion[id_operacion],tblEjecucion[costo_plan_total],0)-tblOrdenes[[#This Row],[costo_servicio]]))</f>
        <v/>
      </c>
      <c r="AK56" s="11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46219</v>
      </c>
      <c r="K57" s="3" t="n">
        <v>6</v>
      </c>
      <c r="L57" s="11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3">
        <f>IF(tblOrdenes[[#This Row],[fecha_inicio]]="","",TODAY()-tblOrdenes[[#This Row],[fecha_inicio]])</f>
        <v/>
      </c>
      <c r="AB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12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1">
        <f>IF(tblOrdenes[[#This Row],[orden]]="","",_xlfn.XLOOKUP(tblOrdenes[[#This Row],[id_operacion]],tblEjecucion[id_operacion],tblEjecucion[precio],0))</f>
        <v/>
      </c>
      <c r="AJ57" s="11">
        <f>IF(tblOrdenes[[#This Row],[orden]]="","",MAX(0,_xlfn.XLOOKUP(tblOrdenes[[#This Row],[id_operacion]],tblEjecucion[id_operacion],tblEjecucion[costo_plan_total],0)-tblOrdenes[[#This Row],[costo_servicio]]))</f>
        <v/>
      </c>
      <c r="AK57" s="11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46220</v>
      </c>
      <c r="K58" s="3" t="n">
        <v>10</v>
      </c>
      <c r="L58" s="11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3">
        <f>IF(tblOrdenes[[#This Row],[fecha_inicio]]="","",TODAY()-tblOrdenes[[#This Row],[fecha_inicio]])</f>
        <v/>
      </c>
      <c r="AB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13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1">
        <f>IF(tblOrdenes[[#This Row],[orden]]="","",_xlfn.XLOOKUP(tblOrdenes[[#This Row],[id_operacion]],tblEjecucion[id_operacion],tblEjecucion[precio],0))</f>
        <v/>
      </c>
      <c r="AJ58" s="11">
        <f>IF(tblOrdenes[[#This Row],[orden]]="","",MAX(0,_xlfn.XLOOKUP(tblOrdenes[[#This Row],[id_operacion]],tblEjecucion[id_operacion],tblEjecucion[costo_plan_total],0)-tblOrdenes[[#This Row],[costo_servicio]]))</f>
        <v/>
      </c>
      <c r="AK58" s="11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46216</v>
      </c>
      <c r="K59" s="3" t="n">
        <v>2</v>
      </c>
      <c r="L59" s="11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3">
        <f>IF(tblOrdenes[[#This Row],[fecha_inicio]]="","",TODAY()-tblOrdenes[[#This Row],[fecha_inicio]])</f>
        <v/>
      </c>
      <c r="AB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14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1">
        <f>IF(tblOrdenes[[#This Row],[orden]]="","",_xlfn.XLOOKUP(tblOrdenes[[#This Row],[id_operacion]],tblEjecucion[id_operacion],tblEjecucion[precio],0))</f>
        <v/>
      </c>
      <c r="AJ59" s="11">
        <f>IF(tblOrdenes[[#This Row],[orden]]="","",MAX(0,_xlfn.XLOOKUP(tblOrdenes[[#This Row],[id_operacion]],tblEjecucion[id_operacion],tblEjecucion[costo_plan_total],0)-tblOrdenes[[#This Row],[costo_servicio]]))</f>
        <v/>
      </c>
      <c r="AK59" s="11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46217</v>
      </c>
      <c r="K60" s="3" t="n">
        <v>10</v>
      </c>
      <c r="L60" s="11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3">
        <f>IF(tblOrdenes[[#This Row],[fecha_inicio]]="","",TODAY()-tblOrdenes[[#This Row],[fecha_inicio]])</f>
        <v/>
      </c>
      <c r="AB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08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1">
        <f>IF(tblOrdenes[[#This Row],[orden]]="","",_xlfn.XLOOKUP(tblOrdenes[[#This Row],[id_operacion]],tblEjecucion[id_operacion],tblEjecucion[precio],0))</f>
        <v/>
      </c>
      <c r="AJ60" s="11">
        <f>IF(tblOrdenes[[#This Row],[orden]]="","",MAX(0,_xlfn.XLOOKUP(tblOrdenes[[#This Row],[id_operacion]],tblEjecucion[id_operacion],tblEjecucion[costo_plan_total],0)-tblOrdenes[[#This Row],[costo_servicio]]))</f>
        <v/>
      </c>
      <c r="AK60" s="11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46218</v>
      </c>
      <c r="K61" s="3" t="n">
        <v>5</v>
      </c>
      <c r="L61" s="11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3">
        <f>IF(tblOrdenes[[#This Row],[fecha_inicio]]="","",TODAY()-tblOrdenes[[#This Row],[fecha_inicio]])</f>
        <v/>
      </c>
      <c r="AB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09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1">
        <f>IF(tblOrdenes[[#This Row],[orden]]="","",_xlfn.XLOOKUP(tblOrdenes[[#This Row],[id_operacion]],tblEjecucion[id_operacion],tblEjecucion[precio],0))</f>
        <v/>
      </c>
      <c r="AJ61" s="11">
        <f>IF(tblOrdenes[[#This Row],[orden]]="","",MAX(0,_xlfn.XLOOKUP(tblOrdenes[[#This Row],[id_operacion]],tblEjecucion[id_operacion],tblEjecucion[costo_plan_total],0)-tblOrdenes[[#This Row],[costo_servicio]]))</f>
        <v/>
      </c>
      <c r="AK61" s="11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46226</v>
      </c>
      <c r="K62" s="3" t="n">
        <v>6</v>
      </c>
      <c r="L62" s="11" t="n">
        <v>150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3">
        <f>IF(tblOrdenes[[#This Row],[fecha_inicio]]="","",TODAY()-tblOrdenes[[#This Row],[fecha_inicio]])</f>
        <v/>
      </c>
      <c r="AB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10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1">
        <f>IF(tblOrdenes[[#This Row],[orden]]="","",_xlfn.XLOOKUP(tblOrdenes[[#This Row],[id_operacion]],tblEjecucion[id_operacion],tblEjecucion[precio],0))</f>
        <v/>
      </c>
      <c r="AJ62" s="11">
        <f>IF(tblOrdenes[[#This Row],[orden]]="","",MAX(0,_xlfn.XLOOKUP(tblOrdenes[[#This Row],[id_operacion]],tblEjecucion[id_operacion],tblEjecucion[costo_plan_total],0)-tblOrdenes[[#This Row],[costo_servicio]]))</f>
        <v/>
      </c>
      <c r="AK62" s="11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>
        <is>
          <t>Ajuste 6 → 4 h en hoja AJUSTES</t>
        </is>
      </c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46227</v>
      </c>
      <c r="K63" s="3" t="n">
        <v>8</v>
      </c>
      <c r="L63" s="11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3">
        <f>IF(tblOrdenes[[#This Row],[fecha_inicio]]="","",TODAY()-tblOrdenes[[#This Row],[fecha_inicio]])</f>
        <v/>
      </c>
      <c r="AB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1">
        <f>IF(tblOrdenes[[#This Row],[orden]]="","",_xlfn.XLOOKUP(tblOrdenes[[#This Row],[id_operacion]],tblEjecucion[id_operacion],tblEjecucion[precio],0))</f>
        <v/>
      </c>
      <c r="AJ63" s="11">
        <f>IF(tblOrdenes[[#This Row],[orden]]="","",MAX(0,_xlfn.XLOOKUP(tblOrdenes[[#This Row],[id_operacion]],tblEjecucion[id_operacion],tblEjecucion[costo_plan_total],0)-tblOrdenes[[#This Row],[costo_servicio]]))</f>
        <v/>
      </c>
      <c r="AK63" s="11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46223</v>
      </c>
      <c r="K64" s="3" t="n">
        <v>6</v>
      </c>
      <c r="L64" s="11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3">
        <f>IF(tblOrdenes[[#This Row],[fecha_inicio]]="","",TODAY()-tblOrdenes[[#This Row],[fecha_inicio]])</f>
        <v/>
      </c>
      <c r="AB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12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1">
        <f>IF(tblOrdenes[[#This Row],[orden]]="","",_xlfn.XLOOKUP(tblOrdenes[[#This Row],[id_operacion]],tblEjecucion[id_operacion],tblEjecucion[precio],0))</f>
        <v/>
      </c>
      <c r="AJ64" s="11">
        <f>IF(tblOrdenes[[#This Row],[orden]]="","",MAX(0,_xlfn.XLOOKUP(tblOrdenes[[#This Row],[id_operacion]],tblEjecucion[id_operacion],tblEjecucion[costo_plan_total],0)-tblOrdenes[[#This Row],[costo_servicio]]))</f>
        <v/>
      </c>
      <c r="AK64" s="11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/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46224</v>
      </c>
      <c r="K65" s="3" t="n">
        <v>10</v>
      </c>
      <c r="L65" s="11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3">
        <f>IF(tblOrdenes[[#This Row],[fecha_inicio]]="","",TODAY()-tblOrdenes[[#This Row],[fecha_inicio]])</f>
        <v/>
      </c>
      <c r="AB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13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1">
        <f>IF(tblOrdenes[[#This Row],[orden]]="","",_xlfn.XLOOKUP(tblOrdenes[[#This Row],[id_operacion]],tblEjecucion[id_operacion],tblEjecucion[precio],0))</f>
        <v/>
      </c>
      <c r="AJ65" s="11">
        <f>IF(tblOrdenes[[#This Row],[orden]]="","",MAX(0,_xlfn.XLOOKUP(tblOrdenes[[#This Row],[id_operacion]],tblEjecucion[id_operacion],tblEjecucion[costo_plan_total],0)-tblOrdenes[[#This Row],[costo_servicio]]))</f>
        <v/>
      </c>
      <c r="AK65" s="11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46225</v>
      </c>
      <c r="K66" s="3" t="n">
        <v>8</v>
      </c>
      <c r="L66" s="11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3">
        <f>IF(tblOrdenes[[#This Row],[fecha_inicio]]="","",TODAY()-tblOrdenes[[#This Row],[fecha_inicio]])</f>
        <v/>
      </c>
      <c r="AB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14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1">
        <f>IF(tblOrdenes[[#This Row],[orden]]="","",_xlfn.XLOOKUP(tblOrdenes[[#This Row],[id_operacion]],tblEjecucion[id_operacion],tblEjecucion[precio],0))</f>
        <v/>
      </c>
      <c r="AJ66" s="11">
        <f>IF(tblOrdenes[[#This Row],[orden]]="","",MAX(0,_xlfn.XLOOKUP(tblOrdenes[[#This Row],[id_operacion]],tblEjecucion[id_operacion],tblEjecucion[costo_plan_total],0)-tblOrdenes[[#This Row],[costo_servicio]]))</f>
        <v/>
      </c>
      <c r="AK66" s="11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46226</v>
      </c>
      <c r="K67" s="3" t="n">
        <v>6</v>
      </c>
      <c r="L67" s="11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3">
        <f>IF(tblOrdenes[[#This Row],[fecha_inicio]]="","",TODAY()-tblOrdenes[[#This Row],[fecha_inicio]])</f>
        <v/>
      </c>
      <c r="AB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08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1">
        <f>IF(tblOrdenes[[#This Row],[orden]]="","",_xlfn.XLOOKUP(tblOrdenes[[#This Row],[id_operacion]],tblEjecucion[id_operacion],tblEjecucion[precio],0))</f>
        <v/>
      </c>
      <c r="AJ67" s="11">
        <f>IF(tblOrdenes[[#This Row],[orden]]="","",MAX(0,_xlfn.XLOOKUP(tblOrdenes[[#This Row],[id_operacion]],tblEjecucion[id_operacion],tblEjecucion[costo_plan_total],0)-tblOrdenes[[#This Row],[costo_servicio]]))</f>
        <v/>
      </c>
      <c r="AK67" s="11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46227</v>
      </c>
      <c r="K68" s="3" t="n">
        <v>10</v>
      </c>
      <c r="L68" s="11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3">
        <f>IF(tblOrdenes[[#This Row],[fecha_inicio]]="","",TODAY()-tblOrdenes[[#This Row],[fecha_inicio]])</f>
        <v/>
      </c>
      <c r="AB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09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1">
        <f>IF(tblOrdenes[[#This Row],[orden]]="","",_xlfn.XLOOKUP(tblOrdenes[[#This Row],[id_operacion]],tblEjecucion[id_operacion],tblEjecucion[precio],0))</f>
        <v/>
      </c>
      <c r="AJ68" s="11">
        <f>IF(tblOrdenes[[#This Row],[orden]]="","",MAX(0,_xlfn.XLOOKUP(tblOrdenes[[#This Row],[id_operacion]],tblEjecucion[id_operacion],tblEjecucion[costo_plan_total],0)-tblOrdenes[[#This Row],[costo_servicio]]))</f>
        <v/>
      </c>
      <c r="AK68" s="11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46223</v>
      </c>
      <c r="K69" s="3" t="n">
        <v>7</v>
      </c>
      <c r="L69" s="11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3">
        <f>IF(tblOrdenes[[#This Row],[fecha_inicio]]="","",TODAY()-tblOrdenes[[#This Row],[fecha_inicio]])</f>
        <v/>
      </c>
      <c r="AB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10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1">
        <f>IF(tblOrdenes[[#This Row],[orden]]="","",_xlfn.XLOOKUP(tblOrdenes[[#This Row],[id_operacion]],tblEjecucion[id_operacion],tblEjecucion[precio],0))</f>
        <v/>
      </c>
      <c r="AJ69" s="11">
        <f>IF(tblOrdenes[[#This Row],[orden]]="","",MAX(0,_xlfn.XLOOKUP(tblOrdenes[[#This Row],[id_operacion]],tblEjecucion[id_operacion],tblEjecucion[costo_plan_total],0)-tblOrdenes[[#This Row],[costo_servicio]]))</f>
        <v/>
      </c>
      <c r="AK69" s="11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46224</v>
      </c>
      <c r="K70" s="3" t="n">
        <v>10</v>
      </c>
      <c r="L70" s="11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3">
        <f>IF(tblOrdenes[[#This Row],[fecha_inicio]]="","",TODAY()-tblOrdenes[[#This Row],[fecha_inicio]])</f>
        <v/>
      </c>
      <c r="AB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11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1">
        <f>IF(tblOrdenes[[#This Row],[orden]]="","",_xlfn.XLOOKUP(tblOrdenes[[#This Row],[id_operacion]],tblEjecucion[id_operacion],tblEjecucion[precio],0))</f>
        <v/>
      </c>
      <c r="AJ70" s="11">
        <f>IF(tblOrdenes[[#This Row],[orden]]="","",MAX(0,_xlfn.XLOOKUP(tblOrdenes[[#This Row],[id_operacion]],tblEjecucion[id_operacion],tblEjecucion[costo_plan_total],0)-tblOrdenes[[#This Row],[costo_servicio]]))</f>
        <v/>
      </c>
      <c r="AK70" s="11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46225</v>
      </c>
      <c r="K71" s="3" t="n">
        <v>10</v>
      </c>
      <c r="L71" s="11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3">
        <f>IF(tblOrdenes[[#This Row],[fecha_inicio]]="","",TODAY()-tblOrdenes[[#This Row],[fecha_inicio]])</f>
        <v/>
      </c>
      <c r="AB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12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1">
        <f>IF(tblOrdenes[[#This Row],[orden]]="","",_xlfn.XLOOKUP(tblOrdenes[[#This Row],[id_operacion]],tblEjecucion[id_operacion],tblEjecucion[precio],0))</f>
        <v/>
      </c>
      <c r="AJ71" s="11">
        <f>IF(tblOrdenes[[#This Row],[orden]]="","",MAX(0,_xlfn.XLOOKUP(tblOrdenes[[#This Row],[id_operacion]],tblEjecucion[id_operacion],tblEjecucion[costo_plan_total],0)-tblOrdenes[[#This Row],[costo_servicio]]))</f>
        <v/>
      </c>
      <c r="AK71" s="11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46233</v>
      </c>
      <c r="K72" s="3" t="n">
        <v>10</v>
      </c>
      <c r="L72" s="11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3">
        <f>IF(tblOrdenes[[#This Row],[fecha_inicio]]="","",TODAY()-tblOrdenes[[#This Row],[fecha_inicio]])</f>
        <v/>
      </c>
      <c r="AB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13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1">
        <f>IF(tblOrdenes[[#This Row],[orden]]="","",_xlfn.XLOOKUP(tblOrdenes[[#This Row],[id_operacion]],tblEjecucion[id_operacion],tblEjecucion[precio],0))</f>
        <v/>
      </c>
      <c r="AJ72" s="11">
        <f>IF(tblOrdenes[[#This Row],[orden]]="","",MAX(0,_xlfn.XLOOKUP(tblOrdenes[[#This Row],[id_operacion]],tblEjecucion[id_operacion],tblEjecucion[costo_plan_total],0)-tblOrdenes[[#This Row],[costo_servicio]]))</f>
        <v/>
      </c>
      <c r="AK72" s="11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46234</v>
      </c>
      <c r="K73" s="3" t="n">
        <v>8</v>
      </c>
      <c r="L73" s="11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3">
        <f>IF(tblOrdenes[[#This Row],[fecha_inicio]]="","",TODAY()-tblOrdenes[[#This Row],[fecha_inicio]])</f>
        <v/>
      </c>
      <c r="AB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14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1">
        <f>IF(tblOrdenes[[#This Row],[orden]]="","",_xlfn.XLOOKUP(tblOrdenes[[#This Row],[id_operacion]],tblEjecucion[id_operacion],tblEjecucion[precio],0))</f>
        <v/>
      </c>
      <c r="AJ73" s="11">
        <f>IF(tblOrdenes[[#This Row],[orden]]="","",MAX(0,_xlfn.XLOOKUP(tblOrdenes[[#This Row],[id_operacion]],tblEjecucion[id_operacion],tblEjecucion[costo_plan_total],0)-tblOrdenes[[#This Row],[costo_servicio]]))</f>
        <v/>
      </c>
      <c r="AK73" s="11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46230</v>
      </c>
      <c r="K74" s="3" t="n">
        <v>6</v>
      </c>
      <c r="L74" s="11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3">
        <f>IF(tblOrdenes[[#This Row],[fecha_inicio]]="","",TODAY()-tblOrdenes[[#This Row],[fecha_inicio]])</f>
        <v/>
      </c>
      <c r="AB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08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1">
        <f>IF(tblOrdenes[[#This Row],[orden]]="","",_xlfn.XLOOKUP(tblOrdenes[[#This Row],[id_operacion]],tblEjecucion[id_operacion],tblEjecucion[precio],0))</f>
        <v/>
      </c>
      <c r="AJ74" s="11">
        <f>IF(tblOrdenes[[#This Row],[orden]]="","",MAX(0,_xlfn.XLOOKUP(tblOrdenes[[#This Row],[id_operacion]],tblEjecucion[id_operacion],tblEjecucion[costo_plan_total],0)-tblOrdenes[[#This Row],[costo_servicio]]))</f>
        <v/>
      </c>
      <c r="AK74" s="11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46231</v>
      </c>
      <c r="K75" s="3" t="n">
        <v>10</v>
      </c>
      <c r="L75" s="11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3">
        <f>IF(tblOrdenes[[#This Row],[fecha_inicio]]="","",TODAY()-tblOrdenes[[#This Row],[fecha_inicio]])</f>
        <v/>
      </c>
      <c r="AB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1">
        <f>IF(tblOrdenes[[#This Row],[orden]]="","",_xlfn.XLOOKUP(tblOrdenes[[#This Row],[id_operacion]],tblEjecucion[id_operacion],tblEjecucion[precio],0))</f>
        <v/>
      </c>
      <c r="AJ75" s="11">
        <f>IF(tblOrdenes[[#This Row],[orden]]="","",MAX(0,_xlfn.XLOOKUP(tblOrdenes[[#This Row],[id_operacion]],tblEjecucion[id_operacion],tblEjecucion[costo_plan_total],0)-tblOrdenes[[#This Row],[costo_servicio]]))</f>
        <v/>
      </c>
      <c r="AK75" s="11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46232</v>
      </c>
      <c r="K76" s="3" t="n">
        <v>8</v>
      </c>
      <c r="L76" s="11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3">
        <f>IF(tblOrdenes[[#This Row],[fecha_inicio]]="","",TODAY()-tblOrdenes[[#This Row],[fecha_inicio]])</f>
        <v/>
      </c>
      <c r="AB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10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1">
        <f>IF(tblOrdenes[[#This Row],[orden]]="","",_xlfn.XLOOKUP(tblOrdenes[[#This Row],[id_operacion]],tblEjecucion[id_operacion],tblEjecucion[precio],0))</f>
        <v/>
      </c>
      <c r="AJ76" s="11">
        <f>IF(tblOrdenes[[#This Row],[orden]]="","",MAX(0,_xlfn.XLOOKUP(tblOrdenes[[#This Row],[id_operacion]],tblEjecucion[id_operacion],tblEjecucion[costo_plan_total],0)-tblOrdenes[[#This Row],[costo_servicio]]))</f>
        <v/>
      </c>
      <c r="AK76" s="11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46233</v>
      </c>
      <c r="K77" s="3" t="n">
        <v>6</v>
      </c>
      <c r="L77" s="11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3">
        <f>IF(tblOrdenes[[#This Row],[fecha_inicio]]="","",TODAY()-tblOrdenes[[#This Row],[fecha_inicio]])</f>
        <v/>
      </c>
      <c r="AB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11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1">
        <f>IF(tblOrdenes[[#This Row],[orden]]="","",_xlfn.XLOOKUP(tblOrdenes[[#This Row],[id_operacion]],tblEjecucion[id_operacion],tblEjecucion[precio],0))</f>
        <v/>
      </c>
      <c r="AJ77" s="11">
        <f>IF(tblOrdenes[[#This Row],[orden]]="","",MAX(0,_xlfn.XLOOKUP(tblOrdenes[[#This Row],[id_operacion]],tblEjecucion[id_operacion],tblEjecucion[costo_plan_total],0)-tblOrdenes[[#This Row],[costo_servicio]]))</f>
        <v/>
      </c>
      <c r="AK77" s="11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46234</v>
      </c>
      <c r="K78" s="3" t="n">
        <v>10</v>
      </c>
      <c r="L78" s="11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3">
        <f>IF(tblOrdenes[[#This Row],[fecha_inicio]]="","",TODAY()-tblOrdenes[[#This Row],[fecha_inicio]])</f>
        <v/>
      </c>
      <c r="AB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12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1">
        <f>IF(tblOrdenes[[#This Row],[orden]]="","",_xlfn.XLOOKUP(tblOrdenes[[#This Row],[id_operacion]],tblEjecucion[id_operacion],tblEjecucion[precio],0))</f>
        <v/>
      </c>
      <c r="AJ78" s="11">
        <f>IF(tblOrdenes[[#This Row],[orden]]="","",MAX(0,_xlfn.XLOOKUP(tblOrdenes[[#This Row],[id_operacion]],tblEjecucion[id_operacion],tblEjecucion[costo_plan_total],0)-tblOrdenes[[#This Row],[costo_servicio]]))</f>
        <v/>
      </c>
      <c r="AK78" s="11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46230</v>
      </c>
      <c r="K79" s="3" t="n">
        <v>2</v>
      </c>
      <c r="L79" s="11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3">
        <f>IF(tblOrdenes[[#This Row],[fecha_inicio]]="","",TODAY()-tblOrdenes[[#This Row],[fecha_inicio]])</f>
        <v/>
      </c>
      <c r="AB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13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1">
        <f>IF(tblOrdenes[[#This Row],[orden]]="","",_xlfn.XLOOKUP(tblOrdenes[[#This Row],[id_operacion]],tblEjecucion[id_operacion],tblEjecucion[precio],0))</f>
        <v/>
      </c>
      <c r="AJ79" s="11">
        <f>IF(tblOrdenes[[#This Row],[orden]]="","",MAX(0,_xlfn.XLOOKUP(tblOrdenes[[#This Row],[id_operacion]],tblEjecucion[id_operacion],tblEjecucion[costo_plan_total],0)-tblOrdenes[[#This Row],[costo_servicio]]))</f>
        <v/>
      </c>
      <c r="AK79" s="11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46231</v>
      </c>
      <c r="K80" s="3" t="n">
        <v>10</v>
      </c>
      <c r="L80" s="11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3">
        <f>IF(tblOrdenes[[#This Row],[fecha_inicio]]="","",TODAY()-tblOrdenes[[#This Row],[fecha_inicio]])</f>
        <v/>
      </c>
      <c r="AB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14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1">
        <f>IF(tblOrdenes[[#This Row],[orden]]="","",_xlfn.XLOOKUP(tblOrdenes[[#This Row],[id_operacion]],tblEjecucion[id_operacion],tblEjecucion[precio],0))</f>
        <v/>
      </c>
      <c r="AJ80" s="11">
        <f>IF(tblOrdenes[[#This Row],[orden]]="","",MAX(0,_xlfn.XLOOKUP(tblOrdenes[[#This Row],[id_operacion]],tblEjecucion[id_operacion],tblEjecucion[costo_plan_total],0)-tblOrdenes[[#This Row],[costo_servicio]]))</f>
        <v/>
      </c>
      <c r="AK80" s="11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46239</v>
      </c>
      <c r="K81" s="3" t="n">
        <v>10</v>
      </c>
      <c r="L81" s="11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3">
        <f>IF(tblOrdenes[[#This Row],[fecha_inicio]]="","",TODAY()-tblOrdenes[[#This Row],[fecha_inicio]])</f>
        <v/>
      </c>
      <c r="AB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08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1">
        <f>IF(tblOrdenes[[#This Row],[orden]]="","",_xlfn.XLOOKUP(tblOrdenes[[#This Row],[id_operacion]],tblEjecucion[id_operacion],tblEjecucion[precio],0))</f>
        <v/>
      </c>
      <c r="AJ81" s="11">
        <f>IF(tblOrdenes[[#This Row],[orden]]="","",MAX(0,_xlfn.XLOOKUP(tblOrdenes[[#This Row],[id_operacion]],tblEjecucion[id_operacion],tblEjecucion[costo_plan_total],0)-tblOrdenes[[#This Row],[costo_servicio]]))</f>
        <v/>
      </c>
      <c r="AK81" s="11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46240</v>
      </c>
      <c r="K82" s="3" t="n">
        <v>8</v>
      </c>
      <c r="L82" s="11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3">
        <f>IF(tblOrdenes[[#This Row],[fecha_inicio]]="","",TODAY()-tblOrdenes[[#This Row],[fecha_inicio]])</f>
        <v/>
      </c>
      <c r="AB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09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1">
        <f>IF(tblOrdenes[[#This Row],[orden]]="","",_xlfn.XLOOKUP(tblOrdenes[[#This Row],[id_operacion]],tblEjecucion[id_operacion],tblEjecucion[precio],0))</f>
        <v/>
      </c>
      <c r="AJ82" s="11">
        <f>IF(tblOrdenes[[#This Row],[orden]]="","",MAX(0,_xlfn.XLOOKUP(tblOrdenes[[#This Row],[id_operacion]],tblEjecucion[id_operacion],tblEjecucion[costo_plan_total],0)-tblOrdenes[[#This Row],[costo_servicio]]))</f>
        <v/>
      </c>
      <c r="AK82" s="11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46241</v>
      </c>
      <c r="K83" s="3" t="n">
        <v>6</v>
      </c>
      <c r="L83" s="11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3">
        <f>IF(tblOrdenes[[#This Row],[fecha_inicio]]="","",TODAY()-tblOrdenes[[#This Row],[fecha_inicio]])</f>
        <v/>
      </c>
      <c r="AB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10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1">
        <f>IF(tblOrdenes[[#This Row],[orden]]="","",_xlfn.XLOOKUP(tblOrdenes[[#This Row],[id_operacion]],tblEjecucion[id_operacion],tblEjecucion[precio],0))</f>
        <v/>
      </c>
      <c r="AJ83" s="11">
        <f>IF(tblOrdenes[[#This Row],[orden]]="","",MAX(0,_xlfn.XLOOKUP(tblOrdenes[[#This Row],[id_operacion]],tblEjecucion[id_operacion],tblEjecucion[costo_plan_total],0)-tblOrdenes[[#This Row],[costo_servicio]]))</f>
        <v/>
      </c>
      <c r="AK83" s="11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46237</v>
      </c>
      <c r="K84" s="3" t="n">
        <v>10</v>
      </c>
      <c r="L84" s="11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3">
        <f>IF(tblOrdenes[[#This Row],[fecha_inicio]]="","",TODAY()-tblOrdenes[[#This Row],[fecha_inicio]])</f>
        <v/>
      </c>
      <c r="AB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11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1">
        <f>IF(tblOrdenes[[#This Row],[orden]]="","",_xlfn.XLOOKUP(tblOrdenes[[#This Row],[id_operacion]],tblEjecucion[id_operacion],tblEjecucion[precio],0))</f>
        <v/>
      </c>
      <c r="AJ84" s="11">
        <f>IF(tblOrdenes[[#This Row],[orden]]="","",MAX(0,_xlfn.XLOOKUP(tblOrdenes[[#This Row],[id_operacion]],tblEjecucion[id_operacion],tblEjecucion[costo_plan_total],0)-tblOrdenes[[#This Row],[costo_servicio]]))</f>
        <v/>
      </c>
      <c r="AK84" s="11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46238</v>
      </c>
      <c r="K85" s="3" t="n">
        <v>8</v>
      </c>
      <c r="L85" s="11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3">
        <f>IF(tblOrdenes[[#This Row],[fecha_inicio]]="","",TODAY()-tblOrdenes[[#This Row],[fecha_inicio]])</f>
        <v/>
      </c>
      <c r="AB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12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1">
        <f>IF(tblOrdenes[[#This Row],[orden]]="","",_xlfn.XLOOKUP(tblOrdenes[[#This Row],[id_operacion]],tblEjecucion[id_operacion],tblEjecucion[precio],0))</f>
        <v/>
      </c>
      <c r="AJ85" s="11">
        <f>IF(tblOrdenes[[#This Row],[orden]]="","",MAX(0,_xlfn.XLOOKUP(tblOrdenes[[#This Row],[id_operacion]],tblEjecucion[id_operacion],tblEjecucion[costo_plan_total],0)-tblOrdenes[[#This Row],[costo_servicio]]))</f>
        <v/>
      </c>
      <c r="AK85" s="11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46239</v>
      </c>
      <c r="K86" s="3" t="n">
        <v>8</v>
      </c>
      <c r="L86" s="11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3">
        <f>IF(tblOrdenes[[#This Row],[fecha_inicio]]="","",TODAY()-tblOrdenes[[#This Row],[fecha_inicio]])</f>
        <v/>
      </c>
      <c r="AB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13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1">
        <f>IF(tblOrdenes[[#This Row],[orden]]="","",_xlfn.XLOOKUP(tblOrdenes[[#This Row],[id_operacion]],tblEjecucion[id_operacion],tblEjecucion[precio],0))</f>
        <v/>
      </c>
      <c r="AJ86" s="11">
        <f>IF(tblOrdenes[[#This Row],[orden]]="","",MAX(0,_xlfn.XLOOKUP(tblOrdenes[[#This Row],[id_operacion]],tblEjecucion[id_operacion],tblEjecucion[costo_plan_total],0)-tblOrdenes[[#This Row],[costo_servicio]]))</f>
        <v/>
      </c>
      <c r="AK86" s="11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46240</v>
      </c>
      <c r="K87" s="3" t="n">
        <v>10</v>
      </c>
      <c r="L87" s="11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3">
        <f>IF(tblOrdenes[[#This Row],[fecha_inicio]]="","",TODAY()-tblOrdenes[[#This Row],[fecha_inicio]])</f>
        <v/>
      </c>
      <c r="AB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1">
        <f>IF(tblOrdenes[[#This Row],[orden]]="","",_xlfn.XLOOKUP(tblOrdenes[[#This Row],[id_operacion]],tblEjecucion[id_operacion],tblEjecucion[precio],0))</f>
        <v/>
      </c>
      <c r="AJ87" s="11">
        <f>IF(tblOrdenes[[#This Row],[orden]]="","",MAX(0,_xlfn.XLOOKUP(tblOrdenes[[#This Row],[id_operacion]],tblEjecucion[id_operacion],tblEjecucion[costo_plan_total],0)-tblOrdenes[[#This Row],[costo_servicio]]))</f>
        <v/>
      </c>
      <c r="AK87" s="11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46220</v>
      </c>
      <c r="K88" s="3" t="n">
        <v>10</v>
      </c>
      <c r="L88" s="11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3">
        <f>IF(tblOrdenes[[#This Row],[fecha_inicio]]="","",TODAY()-tblOrdenes[[#This Row],[fecha_inicio]])</f>
        <v/>
      </c>
      <c r="AB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15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1">
        <f>IF(tblOrdenes[[#This Row],[orden]]="","",_xlfn.XLOOKUP(tblOrdenes[[#This Row],[id_operacion]],tblEjecucion[id_operacion],tblEjecucion[precio],0))</f>
        <v/>
      </c>
      <c r="AJ88" s="11">
        <f>IF(tblOrdenes[[#This Row],[orden]]="","",MAX(0,_xlfn.XLOOKUP(tblOrdenes[[#This Row],[id_operacion]],tblEjecucion[id_operacion],tblEjecucion[costo_plan_total],0)-tblOrdenes[[#This Row],[costo_servicio]]))</f>
        <v/>
      </c>
      <c r="AK88" s="11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46216</v>
      </c>
      <c r="K89" s="3" t="n">
        <v>8</v>
      </c>
      <c r="L89" s="11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3">
        <f>IF(tblOrdenes[[#This Row],[fecha_inicio]]="","",TODAY()-tblOrdenes[[#This Row],[fecha_inicio]])</f>
        <v/>
      </c>
      <c r="AB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16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1">
        <f>IF(tblOrdenes[[#This Row],[orden]]="","",_xlfn.XLOOKUP(tblOrdenes[[#This Row],[id_operacion]],tblEjecucion[id_operacion],tblEjecucion[precio],0))</f>
        <v/>
      </c>
      <c r="AJ89" s="11">
        <f>IF(tblOrdenes[[#This Row],[orden]]="","",MAX(0,_xlfn.XLOOKUP(tblOrdenes[[#This Row],[id_operacion]],tblEjecucion[id_operacion],tblEjecucion[costo_plan_total],0)-tblOrdenes[[#This Row],[costo_servicio]]))</f>
        <v/>
      </c>
      <c r="AK89" s="11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46217</v>
      </c>
      <c r="K90" s="3" t="n">
        <v>6</v>
      </c>
      <c r="L90" s="11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3">
        <f>IF(tblOrdenes[[#This Row],[fecha_inicio]]="","",TODAY()-tblOrdenes[[#This Row],[fecha_inicio]])</f>
        <v/>
      </c>
      <c r="AB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15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1">
        <f>IF(tblOrdenes[[#This Row],[orden]]="","",_xlfn.XLOOKUP(tblOrdenes[[#This Row],[id_operacion]],tblEjecucion[id_operacion],tblEjecucion[precio],0))</f>
        <v/>
      </c>
      <c r="AJ90" s="11">
        <f>IF(tblOrdenes[[#This Row],[orden]]="","",MAX(0,_xlfn.XLOOKUP(tblOrdenes[[#This Row],[id_operacion]],tblEjecucion[id_operacion],tblEjecucion[costo_plan_total],0)-tblOrdenes[[#This Row],[costo_servicio]]))</f>
        <v/>
      </c>
      <c r="AK90" s="11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46218</v>
      </c>
      <c r="K91" s="3" t="n">
        <v>10</v>
      </c>
      <c r="L91" s="11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3">
        <f>IF(tblOrdenes[[#This Row],[fecha_inicio]]="","",TODAY()-tblOrdenes[[#This Row],[fecha_inicio]])</f>
        <v/>
      </c>
      <c r="AB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16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1">
        <f>IF(tblOrdenes[[#This Row],[orden]]="","",_xlfn.XLOOKUP(tblOrdenes[[#This Row],[id_operacion]],tblEjecucion[id_operacion],tblEjecucion[precio],0))</f>
        <v/>
      </c>
      <c r="AJ91" s="11">
        <f>IF(tblOrdenes[[#This Row],[orden]]="","",MAX(0,_xlfn.XLOOKUP(tblOrdenes[[#This Row],[id_operacion]],tblEjecucion[id_operacion],tblEjecucion[costo_plan_total],0)-tblOrdenes[[#This Row],[costo_servicio]]))</f>
        <v/>
      </c>
      <c r="AK91" s="11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46219</v>
      </c>
      <c r="K92" s="3" t="n">
        <v>6</v>
      </c>
      <c r="L92" s="11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3">
        <f>IF(tblOrdenes[[#This Row],[fecha_inicio]]="","",TODAY()-tblOrdenes[[#This Row],[fecha_inicio]])</f>
        <v/>
      </c>
      <c r="AB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15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1">
        <f>IF(tblOrdenes[[#This Row],[orden]]="","",_xlfn.XLOOKUP(tblOrdenes[[#This Row],[id_operacion]],tblEjecucion[id_operacion],tblEjecucion[precio],0))</f>
        <v/>
      </c>
      <c r="AJ92" s="11">
        <f>IF(tblOrdenes[[#This Row],[orden]]="","",MAX(0,_xlfn.XLOOKUP(tblOrdenes[[#This Row],[id_operacion]],tblEjecucion[id_operacion],tblEjecucion[costo_plan_total],0)-tblOrdenes[[#This Row],[costo_servicio]]))</f>
        <v/>
      </c>
      <c r="AK92" s="11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46220</v>
      </c>
      <c r="K93" s="3" t="n">
        <v>10</v>
      </c>
      <c r="L93" s="11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3">
        <f>IF(tblOrdenes[[#This Row],[fecha_inicio]]="","",TODAY()-tblOrdenes[[#This Row],[fecha_inicio]])</f>
        <v/>
      </c>
      <c r="AB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16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1">
        <f>IF(tblOrdenes[[#This Row],[orden]]="","",_xlfn.XLOOKUP(tblOrdenes[[#This Row],[id_operacion]],tblEjecucion[id_operacion],tblEjecucion[precio],0))</f>
        <v/>
      </c>
      <c r="AJ93" s="11">
        <f>IF(tblOrdenes[[#This Row],[orden]]="","",MAX(0,_xlfn.XLOOKUP(tblOrdenes[[#This Row],[id_operacion]],tblEjecucion[id_operacion],tblEjecucion[costo_plan_total],0)-tblOrdenes[[#This Row],[costo_servicio]]))</f>
        <v/>
      </c>
      <c r="AK93" s="11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46223</v>
      </c>
      <c r="K94" s="3" t="n">
        <v>10</v>
      </c>
      <c r="L94" s="11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3">
        <f>IF(tblOrdenes[[#This Row],[fecha_inicio]]="","",TODAY()-tblOrdenes[[#This Row],[fecha_inicio]])</f>
        <v/>
      </c>
      <c r="AB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15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1">
        <f>IF(tblOrdenes[[#This Row],[orden]]="","",_xlfn.XLOOKUP(tblOrdenes[[#This Row],[id_operacion]],tblEjecucion[id_operacion],tblEjecucion[precio],0))</f>
        <v/>
      </c>
      <c r="AJ94" s="11">
        <f>IF(tblOrdenes[[#This Row],[orden]]="","",MAX(0,_xlfn.XLOOKUP(tblOrdenes[[#This Row],[id_operacion]],tblEjecucion[id_operacion],tblEjecucion[costo_plan_total],0)-tblOrdenes[[#This Row],[costo_servicio]]))</f>
        <v/>
      </c>
      <c r="AK94" s="11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46224</v>
      </c>
      <c r="K95" s="3" t="n">
        <v>8</v>
      </c>
      <c r="L95" s="11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3">
        <f>IF(tblOrdenes[[#This Row],[fecha_inicio]]="","",TODAY()-tblOrdenes[[#This Row],[fecha_inicio]])</f>
        <v/>
      </c>
      <c r="AB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16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1">
        <f>IF(tblOrdenes[[#This Row],[orden]]="","",_xlfn.XLOOKUP(tblOrdenes[[#This Row],[id_operacion]],tblEjecucion[id_operacion],tblEjecucion[precio],0))</f>
        <v/>
      </c>
      <c r="AJ95" s="11">
        <f>IF(tblOrdenes[[#This Row],[orden]]="","",MAX(0,_xlfn.XLOOKUP(tblOrdenes[[#This Row],[id_operacion]],tblEjecucion[id_operacion],tblEjecucion[costo_plan_total],0)-tblOrdenes[[#This Row],[costo_servicio]]))</f>
        <v/>
      </c>
      <c r="AK95" s="11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46225</v>
      </c>
      <c r="K96" s="3" t="n">
        <v>6</v>
      </c>
      <c r="L96" s="11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3">
        <f>IF(tblOrdenes[[#This Row],[fecha_inicio]]="","",TODAY()-tblOrdenes[[#This Row],[fecha_inicio]])</f>
        <v/>
      </c>
      <c r="AB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15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1">
        <f>IF(tblOrdenes[[#This Row],[orden]]="","",_xlfn.XLOOKUP(tblOrdenes[[#This Row],[id_operacion]],tblEjecucion[id_operacion],tblEjecucion[precio],0))</f>
        <v/>
      </c>
      <c r="AJ96" s="11">
        <f>IF(tblOrdenes[[#This Row],[orden]]="","",MAX(0,_xlfn.XLOOKUP(tblOrdenes[[#This Row],[id_operacion]],tblEjecucion[id_operacion],tblEjecucion[costo_plan_total],0)-tblOrdenes[[#This Row],[costo_servicio]]))</f>
        <v/>
      </c>
      <c r="AK96" s="11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46226</v>
      </c>
      <c r="K97" s="3" t="n">
        <v>10</v>
      </c>
      <c r="L97" s="11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3">
        <f>IF(tblOrdenes[[#This Row],[fecha_inicio]]="","",TODAY()-tblOrdenes[[#This Row],[fecha_inicio]])</f>
        <v/>
      </c>
      <c r="AB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16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1">
        <f>IF(tblOrdenes[[#This Row],[orden]]="","",_xlfn.XLOOKUP(tblOrdenes[[#This Row],[id_operacion]],tblEjecucion[id_operacion],tblEjecucion[precio],0))</f>
        <v/>
      </c>
      <c r="AJ97" s="11">
        <f>IF(tblOrdenes[[#This Row],[orden]]="","",MAX(0,_xlfn.XLOOKUP(tblOrdenes[[#This Row],[id_operacion]],tblEjecucion[id_operacion],tblEjecucion[costo_plan_total],0)-tblOrdenes[[#This Row],[costo_servicio]]))</f>
        <v/>
      </c>
      <c r="AK97" s="11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46227</v>
      </c>
      <c r="K98" s="3" t="n">
        <v>11</v>
      </c>
      <c r="L98" s="11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3">
        <f>IF(tblOrdenes[[#This Row],[fecha_inicio]]="","",TODAY()-tblOrdenes[[#This Row],[fecha_inicio]])</f>
        <v/>
      </c>
      <c r="AB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15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1">
        <f>IF(tblOrdenes[[#This Row],[orden]]="","",_xlfn.XLOOKUP(tblOrdenes[[#This Row],[id_operacion]],tblEjecucion[id_operacion],tblEjecucion[precio],0))</f>
        <v/>
      </c>
      <c r="AJ98" s="11">
        <f>IF(tblOrdenes[[#This Row],[orden]]="","",MAX(0,_xlfn.XLOOKUP(tblOrdenes[[#This Row],[id_operacion]],tblEjecucion[id_operacion],tblEjecucion[costo_plan_total],0)-tblOrdenes[[#This Row],[costo_servicio]]))</f>
        <v/>
      </c>
      <c r="AK98" s="11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46223</v>
      </c>
      <c r="K99" s="3" t="n">
        <v>10</v>
      </c>
      <c r="L99" s="11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3">
        <f>IF(tblOrdenes[[#This Row],[fecha_inicio]]="","",TODAY()-tblOrdenes[[#This Row],[fecha_inicio]])</f>
        <v/>
      </c>
      <c r="AB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1">
        <f>IF(tblOrdenes[[#This Row],[orden]]="","",_xlfn.XLOOKUP(tblOrdenes[[#This Row],[id_operacion]],tblEjecucion[id_operacion],tblEjecucion[precio],0))</f>
        <v/>
      </c>
      <c r="AJ99" s="11">
        <f>IF(tblOrdenes[[#This Row],[orden]]="","",MAX(0,_xlfn.XLOOKUP(tblOrdenes[[#This Row],[id_operacion]],tblEjecucion[id_operacion],tblEjecucion[costo_plan_total],0)-tblOrdenes[[#This Row],[costo_servicio]]))</f>
        <v/>
      </c>
      <c r="AK99" s="11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46231</v>
      </c>
      <c r="K100" s="3" t="n">
        <v>10</v>
      </c>
      <c r="L100" s="11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3">
        <f>IF(tblOrdenes[[#This Row],[fecha_inicio]]="","",TODAY()-tblOrdenes[[#This Row],[fecha_inicio]])</f>
        <v/>
      </c>
      <c r="AB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15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1">
        <f>IF(tblOrdenes[[#This Row],[orden]]="","",_xlfn.XLOOKUP(tblOrdenes[[#This Row],[id_operacion]],tblEjecucion[id_operacion],tblEjecucion[precio],0))</f>
        <v/>
      </c>
      <c r="AJ100" s="11">
        <f>IF(tblOrdenes[[#This Row],[orden]]="","",MAX(0,_xlfn.XLOOKUP(tblOrdenes[[#This Row],[id_operacion]],tblEjecucion[id_operacion],tblEjecucion[costo_plan_total],0)-tblOrdenes[[#This Row],[costo_servicio]]))</f>
        <v/>
      </c>
      <c r="AK100" s="11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46232</v>
      </c>
      <c r="K101" s="3" t="n">
        <v>8</v>
      </c>
      <c r="L101" s="11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3">
        <f>IF(tblOrdenes[[#This Row],[fecha_inicio]]="","",TODAY()-tblOrdenes[[#This Row],[fecha_inicio]])</f>
        <v/>
      </c>
      <c r="AB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16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1">
        <f>IF(tblOrdenes[[#This Row],[orden]]="","",_xlfn.XLOOKUP(tblOrdenes[[#This Row],[id_operacion]],tblEjecucion[id_operacion],tblEjecucion[precio],0))</f>
        <v/>
      </c>
      <c r="AJ101" s="11">
        <f>IF(tblOrdenes[[#This Row],[orden]]="","",MAX(0,_xlfn.XLOOKUP(tblOrdenes[[#This Row],[id_operacion]],tblEjecucion[id_operacion],tblEjecucion[costo_plan_total],0)-tblOrdenes[[#This Row],[costo_servicio]]))</f>
        <v/>
      </c>
      <c r="AK101" s="11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46233</v>
      </c>
      <c r="K102" s="3" t="n">
        <v>6</v>
      </c>
      <c r="L102" s="11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3">
        <f>IF(tblOrdenes[[#This Row],[fecha_inicio]]="","",TODAY()-tblOrdenes[[#This Row],[fecha_inicio]])</f>
        <v/>
      </c>
      <c r="AB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15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1">
        <f>IF(tblOrdenes[[#This Row],[orden]]="","",_xlfn.XLOOKUP(tblOrdenes[[#This Row],[id_operacion]],tblEjecucion[id_operacion],tblEjecucion[precio],0))</f>
        <v/>
      </c>
      <c r="AJ102" s="11">
        <f>IF(tblOrdenes[[#This Row],[orden]]="","",MAX(0,_xlfn.XLOOKUP(tblOrdenes[[#This Row],[id_operacion]],tblEjecucion[id_operacion],tblEjecucion[costo_plan_total],0)-tblOrdenes[[#This Row],[costo_servicio]]))</f>
        <v/>
      </c>
      <c r="AK102" s="11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46234</v>
      </c>
      <c r="K103" s="3" t="n">
        <v>11</v>
      </c>
      <c r="L103" s="11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3">
        <f>IF(tblOrdenes[[#This Row],[fecha_inicio]]="","",TODAY()-tblOrdenes[[#This Row],[fecha_inicio]])</f>
        <v/>
      </c>
      <c r="AB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16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1">
        <f>IF(tblOrdenes[[#This Row],[orden]]="","",_xlfn.XLOOKUP(tblOrdenes[[#This Row],[id_operacion]],tblEjecucion[id_operacion],tblEjecucion[precio],0))</f>
        <v/>
      </c>
      <c r="AJ103" s="11">
        <f>IF(tblOrdenes[[#This Row],[orden]]="","",MAX(0,_xlfn.XLOOKUP(tblOrdenes[[#This Row],[id_operacion]],tblEjecucion[id_operacion],tblEjecucion[costo_plan_total],0)-tblOrdenes[[#This Row],[costo_servicio]]))</f>
        <v/>
      </c>
      <c r="AK103" s="11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46230</v>
      </c>
      <c r="K104" s="3" t="n">
        <v>7</v>
      </c>
      <c r="L104" s="11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3">
        <f>IF(tblOrdenes[[#This Row],[fecha_inicio]]="","",TODAY()-tblOrdenes[[#This Row],[fecha_inicio]])</f>
        <v/>
      </c>
      <c r="AB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15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1">
        <f>IF(tblOrdenes[[#This Row],[orden]]="","",_xlfn.XLOOKUP(tblOrdenes[[#This Row],[id_operacion]],tblEjecucion[id_operacion],tblEjecucion[precio],0))</f>
        <v/>
      </c>
      <c r="AJ104" s="11">
        <f>IF(tblOrdenes[[#This Row],[orden]]="","",MAX(0,_xlfn.XLOOKUP(tblOrdenes[[#This Row],[id_operacion]],tblEjecucion[id_operacion],tblEjecucion[costo_plan_total],0)-tblOrdenes[[#This Row],[costo_servicio]]))</f>
        <v/>
      </c>
      <c r="AK104" s="11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46238</v>
      </c>
      <c r="K105" s="3" t="n">
        <v>10</v>
      </c>
      <c r="L105" s="11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3">
        <f>IF(tblOrdenes[[#This Row],[fecha_inicio]]="","",TODAY()-tblOrdenes[[#This Row],[fecha_inicio]])</f>
        <v/>
      </c>
      <c r="AB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16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1">
        <f>IF(tblOrdenes[[#This Row],[orden]]="","",_xlfn.XLOOKUP(tblOrdenes[[#This Row],[id_operacion]],tblEjecucion[id_operacion],tblEjecucion[precio],0))</f>
        <v/>
      </c>
      <c r="AJ105" s="11">
        <f>IF(tblOrdenes[[#This Row],[orden]]="","",MAX(0,_xlfn.XLOOKUP(tblOrdenes[[#This Row],[id_operacion]],tblEjecucion[id_operacion],tblEjecucion[costo_plan_total],0)-tblOrdenes[[#This Row],[costo_servicio]]))</f>
        <v/>
      </c>
      <c r="AK105" s="11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46239</v>
      </c>
      <c r="K106" s="3" t="n">
        <v>8</v>
      </c>
      <c r="L106" s="11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3">
        <f>IF(tblOrdenes[[#This Row],[fecha_inicio]]="","",TODAY()-tblOrdenes[[#This Row],[fecha_inicio]])</f>
        <v/>
      </c>
      <c r="AB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15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1">
        <f>IF(tblOrdenes[[#This Row],[orden]]="","",_xlfn.XLOOKUP(tblOrdenes[[#This Row],[id_operacion]],tblEjecucion[id_operacion],tblEjecucion[precio],0))</f>
        <v/>
      </c>
      <c r="AJ106" s="11">
        <f>IF(tblOrdenes[[#This Row],[orden]]="","",MAX(0,_xlfn.XLOOKUP(tblOrdenes[[#This Row],[id_operacion]],tblEjecucion[id_operacion],tblEjecucion[costo_plan_total],0)-tblOrdenes[[#This Row],[costo_servicio]]))</f>
        <v/>
      </c>
      <c r="AK106" s="11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46240</v>
      </c>
      <c r="K107" s="3" t="n">
        <v>6</v>
      </c>
      <c r="L107" s="11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3">
        <f>IF(tblOrdenes[[#This Row],[fecha_inicio]]="","",TODAY()-tblOrdenes[[#This Row],[fecha_inicio]])</f>
        <v/>
      </c>
      <c r="AB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16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1">
        <f>IF(tblOrdenes[[#This Row],[orden]]="","",_xlfn.XLOOKUP(tblOrdenes[[#This Row],[id_operacion]],tblEjecucion[id_operacion],tblEjecucion[precio],0))</f>
        <v/>
      </c>
      <c r="AJ107" s="11">
        <f>IF(tblOrdenes[[#This Row],[orden]]="","",MAX(0,_xlfn.XLOOKUP(tblOrdenes[[#This Row],[id_operacion]],tblEjecucion[id_operacion],tblEjecucion[costo_plan_total],0)-tblOrdenes[[#This Row],[costo_servicio]]))</f>
        <v/>
      </c>
      <c r="AK107" s="11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46241</v>
      </c>
      <c r="K108" s="3" t="n">
        <v>6</v>
      </c>
      <c r="L108" s="11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3">
        <f>IF(tblOrdenes[[#This Row],[fecha_inicio]]="","",TODAY()-tblOrdenes[[#This Row],[fecha_inicio]])</f>
        <v/>
      </c>
      <c r="AB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15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1">
        <f>IF(tblOrdenes[[#This Row],[orden]]="","",_xlfn.XLOOKUP(tblOrdenes[[#This Row],[id_operacion]],tblEjecucion[id_operacion],tblEjecucion[precio],0))</f>
        <v/>
      </c>
      <c r="AJ108" s="11">
        <f>IF(tblOrdenes[[#This Row],[orden]]="","",MAX(0,_xlfn.XLOOKUP(tblOrdenes[[#This Row],[id_operacion]],tblEjecucion[id_operacion],tblEjecucion[costo_plan_total],0)-tblOrdenes[[#This Row],[costo_servicio]]))</f>
        <v/>
      </c>
      <c r="AK108" s="11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46237</v>
      </c>
      <c r="K109" s="3" t="n">
        <v>6</v>
      </c>
      <c r="L109" s="11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3">
        <f>IF(tblOrdenes[[#This Row],[fecha_inicio]]="","",TODAY()-tblOrdenes[[#This Row],[fecha_inicio]])</f>
        <v/>
      </c>
      <c r="AB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16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1">
        <f>IF(tblOrdenes[[#This Row],[orden]]="","",_xlfn.XLOOKUP(tblOrdenes[[#This Row],[id_operacion]],tblEjecucion[id_operacion],tblEjecucion[precio],0))</f>
        <v/>
      </c>
      <c r="AJ109" s="11">
        <f>IF(tblOrdenes[[#This Row],[orden]]="","",MAX(0,_xlfn.XLOOKUP(tblOrdenes[[#This Row],[id_operacion]],tblEjecucion[id_operacion],tblEjecucion[costo_plan_total],0)-tblOrdenes[[#This Row],[costo_servicio]]))</f>
        <v/>
      </c>
      <c r="AK109" s="11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46223</v>
      </c>
      <c r="K110" s="3" t="n">
        <v>10</v>
      </c>
      <c r="L110" s="11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3">
        <f>IF(tblOrdenes[[#This Row],[fecha_inicio]]="","",TODAY()-tblOrdenes[[#This Row],[fecha_inicio]])</f>
        <v/>
      </c>
      <c r="AB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/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1">
        <f>IF(tblOrdenes[[#This Row],[orden]]="","",_xlfn.XLOOKUP(tblOrdenes[[#This Row],[id_operacion]],tblEjecucion[id_operacion],tblEjecucion[precio],0))</f>
        <v/>
      </c>
      <c r="AJ110" s="11">
        <f>IF(tblOrdenes[[#This Row],[orden]]="","",MAX(0,_xlfn.XLOOKUP(tblOrdenes[[#This Row],[id_operacion]],tblEjecucion[id_operacion],tblEjecucion[costo_plan_total],0)-tblOrdenes[[#This Row],[costo_servicio]]))</f>
        <v/>
      </c>
      <c r="AK110" s="11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/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46224</v>
      </c>
      <c r="K111" s="3" t="n">
        <v>6</v>
      </c>
      <c r="L111" s="11" t="n">
        <v>150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3">
        <f>IF(tblOrdenes[[#This Row],[fecha_inicio]]="","",TODAY()-tblOrdenes[[#This Row],[fecha_inicio]])</f>
        <v/>
      </c>
      <c r="AB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1">
        <f>IF(tblOrdenes[[#This Row],[orden]]="","",_xlfn.XLOOKUP(tblOrdenes[[#This Row],[id_operacion]],tblEjecucion[id_operacion],tblEjecucion[precio],0))</f>
        <v/>
      </c>
      <c r="AJ111" s="11">
        <f>IF(tblOrdenes[[#This Row],[orden]]="","",MAX(0,_xlfn.XLOOKUP(tblOrdenes[[#This Row],[id_operacion]],tblEjecucion[id_operacion],tblEjecucion[costo_plan_total],0)-tblOrdenes[[#This Row],[costo_servicio]]))</f>
        <v/>
      </c>
      <c r="AK111" s="11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/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46230</v>
      </c>
      <c r="K112" s="3" t="n">
        <v>10</v>
      </c>
      <c r="L112" s="11" t="n">
        <v>250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3">
        <f>IF(tblOrdenes[[#This Row],[fecha_inicio]]="","",TODAY()-tblOrdenes[[#This Row],[fecha_inicio]])</f>
        <v/>
      </c>
      <c r="AB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/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1">
        <f>IF(tblOrdenes[[#This Row],[orden]]="","",_xlfn.XLOOKUP(tblOrdenes[[#This Row],[id_operacion]],tblEjecucion[id_operacion],tblEjecucion[precio],0))</f>
        <v/>
      </c>
      <c r="AJ112" s="11">
        <f>IF(tblOrdenes[[#This Row],[orden]]="","",MAX(0,_xlfn.XLOOKUP(tblOrdenes[[#This Row],[id_operacion]],tblEjecucion[id_operacion],tblEjecucion[costo_plan_total],0)-tblOrdenes[[#This Row],[costo_servicio]]))</f>
        <v/>
      </c>
      <c r="AK112" s="11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/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46231</v>
      </c>
      <c r="K113" s="3" t="n">
        <v>2</v>
      </c>
      <c r="L113" s="11" t="n">
        <v>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3">
        <f>IF(tblOrdenes[[#This Row],[fecha_inicio]]="","",TODAY()-tblOrdenes[[#This Row],[fecha_inicio]])</f>
        <v/>
      </c>
      <c r="AB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/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1">
        <f>IF(tblOrdenes[[#This Row],[orden]]="","",_xlfn.XLOOKUP(tblOrdenes[[#This Row],[id_operacion]],tblEjecucion[id_operacion],tblEjecucion[precio],0))</f>
        <v/>
      </c>
      <c r="AJ113" s="11">
        <f>IF(tblOrdenes[[#This Row],[orden]]="","",MAX(0,_xlfn.XLOOKUP(tblOrdenes[[#This Row],[id_operacion]],tblEjecucion[id_operacion],tblEjecucion[costo_plan_total],0)-tblOrdenes[[#This Row],[costo_servicio]]))</f>
        <v/>
      </c>
      <c r="AK113" s="11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/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46228</v>
      </c>
      <c r="K114" s="3" t="n">
        <v>6</v>
      </c>
      <c r="L114" s="11" t="n">
        <v>240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3">
        <f>IF(tblOrdenes[[#This Row],[fecha_inicio]]="","",TODAY()-tblOrdenes[[#This Row],[fecha_inicio]])</f>
        <v/>
      </c>
      <c r="AB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01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1">
        <f>IF(tblOrdenes[[#This Row],[orden]]="","",_xlfn.XLOOKUP(tblOrdenes[[#This Row],[id_operacion]],tblEjecucion[id_operacion],tblEjecucion[precio],0))</f>
        <v/>
      </c>
      <c r="AJ114" s="11">
        <f>IF(tblOrdenes[[#This Row],[orden]]="","",MAX(0,_xlfn.XLOOKUP(tblOrdenes[[#This Row],[id_operacion]],tblEjecucion[id_operacion],tblEjecucion[costo_plan_total],0)-tblOrdenes[[#This Row],[costo_servicio]]))</f>
        <v/>
      </c>
      <c r="AK114" s="11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46228</v>
      </c>
      <c r="K115" s="3" t="n">
        <v>4</v>
      </c>
      <c r="L115" s="11" t="n">
        <v>160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3">
        <f>IF(tblOrdenes[[#This Row],[fecha_inicio]]="","",TODAY()-tblOrdenes[[#This Row],[fecha_inicio]])</f>
        <v/>
      </c>
      <c r="AB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08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1">
        <f>IF(tblOrdenes[[#This Row],[orden]]="","",_xlfn.XLOOKUP(tblOrdenes[[#This Row],[id_operacion]],tblEjecucion[id_operacion],tblEjecucion[precio],0))</f>
        <v/>
      </c>
      <c r="AJ115" s="11">
        <f>IF(tblOrdenes[[#This Row],[orden]]="","",MAX(0,_xlfn.XLOOKUP(tblOrdenes[[#This Row],[id_operacion]],tblEjecucion[id_operacion],tblEjecucion[costo_plan_total],0)-tblOrdenes[[#This Row],[costo_servicio]]))</f>
        <v/>
      </c>
      <c r="AK115" s="11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/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46229</v>
      </c>
      <c r="K116" s="3" t="n">
        <v>8</v>
      </c>
      <c r="L116" s="11" t="n">
        <v>320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3">
        <f>IF(tblOrdenes[[#This Row],[fecha_inicio]]="","",TODAY()-tblOrdenes[[#This Row],[fecha_inicio]])</f>
        <v/>
      </c>
      <c r="AB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/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1">
        <f>IF(tblOrdenes[[#This Row],[orden]]="","",_xlfn.XLOOKUP(tblOrdenes[[#This Row],[id_operacion]],tblEjecucion[id_operacion],tblEjecucion[precio],0))</f>
        <v/>
      </c>
      <c r="AJ116" s="11">
        <f>IF(tblOrdenes[[#This Row],[orden]]="","",MAX(0,_xlfn.XLOOKUP(tblOrdenes[[#This Row],[id_operacion]],tblEjecucion[id_operacion],tblEjecucion[costo_plan_total],0)-tblOrdenes[[#This Row],[costo_servicio]]))</f>
        <v/>
      </c>
      <c r="AK116" s="11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/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46216</v>
      </c>
      <c r="K117" s="3" t="n">
        <v>2</v>
      </c>
      <c r="L117" s="11" t="n">
        <v>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3">
        <f>IF(tblOrdenes[[#This Row],[fecha_inicio]]="","",TODAY()-tblOrdenes[[#This Row],[fecha_inicio]])</f>
        <v/>
      </c>
      <c r="AB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01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1">
        <f>IF(tblOrdenes[[#This Row],[orden]]="","",_xlfn.XLOOKUP(tblOrdenes[[#This Row],[id_operacion]],tblEjecucion[id_operacion],tblEjecucion[precio],0))</f>
        <v/>
      </c>
      <c r="AJ117" s="11">
        <f>IF(tblOrdenes[[#This Row],[orden]]="","",MAX(0,_xlfn.XLOOKUP(tblOrdenes[[#This Row],[id_operacion]],tblEjecucion[id_operacion],tblEjecucion[costo_plan_total],0)-tblOrdenes[[#This Row],[costo_servicio]]))</f>
        <v/>
      </c>
      <c r="AK117" s="11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/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46237</v>
      </c>
      <c r="K118" s="3" t="n">
        <v>2</v>
      </c>
      <c r="L118" s="11" t="n">
        <v>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3">
        <f>IF(tblOrdenes[[#This Row],[fecha_inicio]]="","",TODAY()-tblOrdenes[[#This Row],[fecha_inicio]])</f>
        <v/>
      </c>
      <c r="AB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06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1">
        <f>IF(tblOrdenes[[#This Row],[orden]]="","",_xlfn.XLOOKUP(tblOrdenes[[#This Row],[id_operacion]],tblEjecucion[id_operacion],tblEjecucion[precio],0))</f>
        <v/>
      </c>
      <c r="AJ118" s="11">
        <f>IF(tblOrdenes[[#This Row],[orden]]="","",MAX(0,_xlfn.XLOOKUP(tblOrdenes[[#This Row],[id_operacion]],tblEjecucion[id_operacion],tblEjecucion[costo_plan_total],0)-tblOrdenes[[#This Row],[costo_servicio]]))</f>
        <v/>
      </c>
      <c r="AK118" s="11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/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46237</v>
      </c>
      <c r="K119" s="3" t="n">
        <v>2</v>
      </c>
      <c r="L119" s="11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3">
        <f>IF(tblOrdenes[[#This Row],[fecha_inicio]]="","",TODAY()-tblOrdenes[[#This Row],[fecha_inicio]])</f>
        <v/>
      </c>
      <c r="AB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1">
        <f>IF(tblOrdenes[[#This Row],[orden]]="","",_xlfn.XLOOKUP(tblOrdenes[[#This Row],[id_operacion]],tblEjecucion[id_operacion],tblEjecucion[precio],0))</f>
        <v/>
      </c>
      <c r="AJ119" s="11">
        <f>IF(tblOrdenes[[#This Row],[orden]]="","",MAX(0,_xlfn.XLOOKUP(tblOrdenes[[#This Row],[id_operacion]],tblEjecucion[id_operacion],tblEjecucion[costo_plan_total],0)-tblOrdenes[[#This Row],[costo_servicio]]))</f>
        <v/>
      </c>
      <c r="AK119" s="11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/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46181</v>
      </c>
      <c r="K120" s="3" t="n">
        <v>4</v>
      </c>
      <c r="L120" s="11" t="n">
        <v>160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3">
        <f>IF(tblOrdenes[[#This Row],[fecha_inicio]]="","",TODAY()-tblOrdenes[[#This Row],[fecha_inicio]])</f>
        <v/>
      </c>
      <c r="AB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/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1">
        <f>IF(tblOrdenes[[#This Row],[orden]]="","",_xlfn.XLOOKUP(tblOrdenes[[#This Row],[id_operacion]],tblEjecucion[id_operacion],tblEjecucion[precio],0))</f>
        <v/>
      </c>
      <c r="AJ120" s="11">
        <f>IF(tblOrdenes[[#This Row],[orden]]="","",MAX(0,_xlfn.XLOOKUP(tblOrdenes[[#This Row],[id_operacion]],tblEjecucion[id_operacion],tblEjecucion[costo_plan_total],0)-tblOrdenes[[#This Row],[costo_servicio]]))</f>
        <v/>
      </c>
      <c r="AK120" s="11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46181</v>
      </c>
      <c r="K121" s="3" t="n">
        <v>6</v>
      </c>
      <c r="L121" s="11" t="n">
        <v>240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3">
        <f>IF(tblOrdenes[[#This Row],[fecha_inicio]]="","",TODAY()-tblOrdenes[[#This Row],[fecha_inicio]])</f>
        <v/>
      </c>
      <c r="AB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/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1">
        <f>IF(tblOrdenes[[#This Row],[orden]]="","",_xlfn.XLOOKUP(tblOrdenes[[#This Row],[id_operacion]],tblEjecucion[id_operacion],tblEjecucion[precio],0))</f>
        <v/>
      </c>
      <c r="AJ121" s="11">
        <f>IF(tblOrdenes[[#This Row],[orden]]="","",MAX(0,_xlfn.XLOOKUP(tblOrdenes[[#This Row],[id_operacion]],tblEjecucion[id_operacion],tblEjecucion[costo_plan_total],0)-tblOrdenes[[#This Row],[costo_servicio]]))</f>
        <v/>
      </c>
      <c r="AK121" s="11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/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46181</v>
      </c>
      <c r="K122" s="3" t="n">
        <v>8</v>
      </c>
      <c r="L122" s="11" t="n">
        <v>320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3">
        <f>IF(tblOrdenes[[#This Row],[fecha_inicio]]="","",TODAY()-tblOrdenes[[#This Row],[fecha_inicio]])</f>
        <v/>
      </c>
      <c r="AB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/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1">
        <f>IF(tblOrdenes[[#This Row],[orden]]="","",_xlfn.XLOOKUP(tblOrdenes[[#This Row],[id_operacion]],tblEjecucion[id_operacion],tblEjecucion[precio],0))</f>
        <v/>
      </c>
      <c r="AJ122" s="11">
        <f>IF(tblOrdenes[[#This Row],[orden]]="","",MAX(0,_xlfn.XLOOKUP(tblOrdenes[[#This Row],[id_operacion]],tblEjecucion[id_operacion],tblEjecucion[costo_plan_total],0)-tblOrdenes[[#This Row],[costo_servicio]]))</f>
        <v/>
      </c>
      <c r="AK122" s="11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/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46181</v>
      </c>
      <c r="K123" s="3" t="n">
        <v>4</v>
      </c>
      <c r="L123" s="11" t="n">
        <v>100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3">
        <f>IF(tblOrdenes[[#This Row],[fecha_inicio]]="","",TODAY()-tblOrdenes[[#This Row],[fecha_inicio]])</f>
        <v/>
      </c>
      <c r="AB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1">
        <f>IF(tblOrdenes[[#This Row],[orden]]="","",_xlfn.XLOOKUP(tblOrdenes[[#This Row],[id_operacion]],tblEjecucion[id_operacion],tblEjecucion[precio],0))</f>
        <v/>
      </c>
      <c r="AJ123" s="11">
        <f>IF(tblOrdenes[[#This Row],[orden]]="","",MAX(0,_xlfn.XLOOKUP(tblOrdenes[[#This Row],[id_operacion]],tblEjecucion[id_operacion],tblEjecucion[costo_plan_total],0)-tblOrdenes[[#This Row],[costo_servicio]]))</f>
        <v/>
      </c>
      <c r="AK123" s="11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/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46181</v>
      </c>
      <c r="K124" s="3" t="n">
        <v>6</v>
      </c>
      <c r="L124" s="11" t="n">
        <v>240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3">
        <f>IF(tblOrdenes[[#This Row],[fecha_inicio]]="","",TODAY()-tblOrdenes[[#This Row],[fecha_inicio]])</f>
        <v/>
      </c>
      <c r="AB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/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1">
        <f>IF(tblOrdenes[[#This Row],[orden]]="","",_xlfn.XLOOKUP(tblOrdenes[[#This Row],[id_operacion]],tblEjecucion[id_operacion],tblEjecucion[precio],0))</f>
        <v/>
      </c>
      <c r="AJ124" s="11">
        <f>IF(tblOrdenes[[#This Row],[orden]]="","",MAX(0,_xlfn.XLOOKUP(tblOrdenes[[#This Row],[id_operacion]],tblEjecucion[id_operacion],tblEjecucion[costo_plan_total],0)-tblOrdenes[[#This Row],[costo_servicio]]))</f>
        <v/>
      </c>
      <c r="AK124" s="11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46181</v>
      </c>
      <c r="K125" s="3" t="n">
        <v>8</v>
      </c>
      <c r="L125" s="11" t="n">
        <v>320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3">
        <f>IF(tblOrdenes[[#This Row],[fecha_inicio]]="","",TODAY()-tblOrdenes[[#This Row],[fecha_inicio]])</f>
        <v/>
      </c>
      <c r="AB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/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1">
        <f>IF(tblOrdenes[[#This Row],[orden]]="","",_xlfn.XLOOKUP(tblOrdenes[[#This Row],[id_operacion]],tblEjecucion[id_operacion],tblEjecucion[precio],0))</f>
        <v/>
      </c>
      <c r="AJ125" s="11">
        <f>IF(tblOrdenes[[#This Row],[orden]]="","",MAX(0,_xlfn.XLOOKUP(tblOrdenes[[#This Row],[id_operacion]],tblEjecucion[id_operacion],tblEjecucion[costo_plan_total],0)-tblOrdenes[[#This Row],[costo_servicio]]))</f>
        <v/>
      </c>
      <c r="AK125" s="11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/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46181</v>
      </c>
      <c r="K126" s="3" t="n">
        <v>4</v>
      </c>
      <c r="L126" s="11" t="n">
        <v>160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3">
        <f>IF(tblOrdenes[[#This Row],[fecha_inicio]]="","",TODAY()-tblOrdenes[[#This Row],[fecha_inicio]])</f>
        <v/>
      </c>
      <c r="AB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/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1">
        <f>IF(tblOrdenes[[#This Row],[orden]]="","",_xlfn.XLOOKUP(tblOrdenes[[#This Row],[id_operacion]],tblEjecucion[id_operacion],tblEjecucion[precio],0))</f>
        <v/>
      </c>
      <c r="AJ126" s="11">
        <f>IF(tblOrdenes[[#This Row],[orden]]="","",MAX(0,_xlfn.XLOOKUP(tblOrdenes[[#This Row],[id_operacion]],tblEjecucion[id_operacion],tblEjecucion[costo_plan_total],0)-tblOrdenes[[#This Row],[costo_servicio]]))</f>
        <v/>
      </c>
      <c r="AK126" s="11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/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46181</v>
      </c>
      <c r="K127" s="3" t="n">
        <v>6</v>
      </c>
      <c r="L127" s="11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3">
        <f>IF(tblOrdenes[[#This Row],[fecha_inicio]]="","",TODAY()-tblOrdenes[[#This Row],[fecha_inicio]])</f>
        <v/>
      </c>
      <c r="AB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/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1">
        <f>IF(tblOrdenes[[#This Row],[orden]]="","",_xlfn.XLOOKUP(tblOrdenes[[#This Row],[id_operacion]],tblEjecucion[id_operacion],tblEjecucion[precio],0))</f>
        <v/>
      </c>
      <c r="AJ127" s="11">
        <f>IF(tblOrdenes[[#This Row],[orden]]="","",MAX(0,_xlfn.XLOOKUP(tblOrdenes[[#This Row],[id_operacion]],tblEjecucion[id_operacion],tblEjecucion[costo_plan_total],0)-tblOrdenes[[#This Row],[costo_servicio]]))</f>
        <v/>
      </c>
      <c r="AK127" s="11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/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46151</v>
      </c>
      <c r="K128" s="3" t="n">
        <v>4</v>
      </c>
      <c r="L128" s="11" t="n">
        <v>160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3">
        <f>IF(tblOrdenes[[#This Row],[fecha_inicio]]="","",TODAY()-tblOrdenes[[#This Row],[fecha_inicio]])</f>
        <v/>
      </c>
      <c r="AB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/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1">
        <f>IF(tblOrdenes[[#This Row],[orden]]="","",_xlfn.XLOOKUP(tblOrdenes[[#This Row],[id_operacion]],tblEjecucion[id_operacion],tblEjecucion[precio],0))</f>
        <v/>
      </c>
      <c r="AJ128" s="11">
        <f>IF(tblOrdenes[[#This Row],[orden]]="","",MAX(0,_xlfn.XLOOKUP(tblOrdenes[[#This Row],[id_operacion]],tblEjecucion[id_operacion],tblEjecucion[costo_plan_total],0)-tblOrdenes[[#This Row],[costo_servicio]]))</f>
        <v/>
      </c>
      <c r="AK128" s="11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46151</v>
      </c>
      <c r="K129" s="3" t="n">
        <v>6</v>
      </c>
      <c r="L129" s="11" t="n">
        <v>240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3">
        <f>IF(tblOrdenes[[#This Row],[fecha_inicio]]="","",TODAY()-tblOrdenes[[#This Row],[fecha_inicio]])</f>
        <v/>
      </c>
      <c r="AB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1">
        <f>IF(tblOrdenes[[#This Row],[orden]]="","",_xlfn.XLOOKUP(tblOrdenes[[#This Row],[id_operacion]],tblEjecucion[id_operacion],tblEjecucion[precio],0))</f>
        <v/>
      </c>
      <c r="AJ129" s="11">
        <f>IF(tblOrdenes[[#This Row],[orden]]="","",MAX(0,_xlfn.XLOOKUP(tblOrdenes[[#This Row],[id_operacion]],tblEjecucion[id_operacion],tblEjecucion[costo_plan_total],0)-tblOrdenes[[#This Row],[costo_servicio]]))</f>
        <v/>
      </c>
      <c r="AK129" s="11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46151</v>
      </c>
      <c r="K130" s="3" t="n">
        <v>8</v>
      </c>
      <c r="L130" s="11" t="n">
        <v>320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3">
        <f>IF(tblOrdenes[[#This Row],[fecha_inicio]]="","",TODAY()-tblOrdenes[[#This Row],[fecha_inicio]])</f>
        <v/>
      </c>
      <c r="AB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1">
        <f>IF(tblOrdenes[[#This Row],[orden]]="","",_xlfn.XLOOKUP(tblOrdenes[[#This Row],[id_operacion]],tblEjecucion[id_operacion],tblEjecucion[precio],0))</f>
        <v/>
      </c>
      <c r="AJ130" s="11">
        <f>IF(tblOrdenes[[#This Row],[orden]]="","",MAX(0,_xlfn.XLOOKUP(tblOrdenes[[#This Row],[id_operacion]],tblEjecucion[id_operacion],tblEjecucion[costo_plan_total],0)-tblOrdenes[[#This Row],[costo_servicio]]))</f>
        <v/>
      </c>
      <c r="AK130" s="11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46151</v>
      </c>
      <c r="K131" s="3" t="n">
        <v>4</v>
      </c>
      <c r="L131" s="11" t="n">
        <v>100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3">
        <f>IF(tblOrdenes[[#This Row],[fecha_inicio]]="","",TODAY()-tblOrdenes[[#This Row],[fecha_inicio]])</f>
        <v/>
      </c>
      <c r="AB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1">
        <f>IF(tblOrdenes[[#This Row],[orden]]="","",_xlfn.XLOOKUP(tblOrdenes[[#This Row],[id_operacion]],tblEjecucion[id_operacion],tblEjecucion[precio],0))</f>
        <v/>
      </c>
      <c r="AJ131" s="11">
        <f>IF(tblOrdenes[[#This Row],[orden]]="","",MAX(0,_xlfn.XLOOKUP(tblOrdenes[[#This Row],[id_operacion]],tblEjecucion[id_operacion],tblEjecucion[costo_plan_total],0)-tblOrdenes[[#This Row],[costo_servicio]]))</f>
        <v/>
      </c>
      <c r="AK131" s="11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46151</v>
      </c>
      <c r="K132" s="3" t="n">
        <v>6</v>
      </c>
      <c r="L132" s="11" t="n">
        <v>240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3">
        <f>IF(tblOrdenes[[#This Row],[fecha_inicio]]="","",TODAY()-tblOrdenes[[#This Row],[fecha_inicio]])</f>
        <v/>
      </c>
      <c r="AB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1">
        <f>IF(tblOrdenes[[#This Row],[orden]]="","",_xlfn.XLOOKUP(tblOrdenes[[#This Row],[id_operacion]],tblEjecucion[id_operacion],tblEjecucion[precio],0))</f>
        <v/>
      </c>
      <c r="AJ132" s="11">
        <f>IF(tblOrdenes[[#This Row],[orden]]="","",MAX(0,_xlfn.XLOOKUP(tblOrdenes[[#This Row],[id_operacion]],tblEjecucion[id_operacion],tblEjecucion[costo_plan_total],0)-tblOrdenes[[#This Row],[costo_servicio]]))</f>
        <v/>
      </c>
      <c r="AK132" s="11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46151</v>
      </c>
      <c r="K133" s="3" t="n">
        <v>8</v>
      </c>
      <c r="L133" s="11" t="n">
        <v>320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3">
        <f>IF(tblOrdenes[[#This Row],[fecha_inicio]]="","",TODAY()-tblOrdenes[[#This Row],[fecha_inicio]])</f>
        <v/>
      </c>
      <c r="AB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/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1">
        <f>IF(tblOrdenes[[#This Row],[orden]]="","",_xlfn.XLOOKUP(tblOrdenes[[#This Row],[id_operacion]],tblEjecucion[id_operacion],tblEjecucion[precio],0))</f>
        <v/>
      </c>
      <c r="AJ133" s="11">
        <f>IF(tblOrdenes[[#This Row],[orden]]="","",MAX(0,_xlfn.XLOOKUP(tblOrdenes[[#This Row],[id_operacion]],tblEjecucion[id_operacion],tblEjecucion[costo_plan_total],0)-tblOrdenes[[#This Row],[costo_servicio]]))</f>
        <v/>
      </c>
      <c r="AK133" s="11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46126</v>
      </c>
      <c r="K134" s="3" t="n">
        <v>4</v>
      </c>
      <c r="L134" s="11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3">
        <f>IF(tblOrdenes[[#This Row],[fecha_inicio]]="","",TODAY()-tblOrdenes[[#This Row],[fecha_inicio]])</f>
        <v/>
      </c>
      <c r="AB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/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1">
        <f>IF(tblOrdenes[[#This Row],[orden]]="","",_xlfn.XLOOKUP(tblOrdenes[[#This Row],[id_operacion]],tblEjecucion[id_operacion],tblEjecucion[precio],0))</f>
        <v/>
      </c>
      <c r="AJ134" s="11">
        <f>IF(tblOrdenes[[#This Row],[orden]]="","",MAX(0,_xlfn.XLOOKUP(tblOrdenes[[#This Row],[id_operacion]],tblEjecucion[id_operacion],tblEjecucion[costo_plan_total],0)-tblOrdenes[[#This Row],[costo_servicio]]))</f>
        <v/>
      </c>
      <c r="AK134" s="11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46126</v>
      </c>
      <c r="K135" s="3" t="n">
        <v>6</v>
      </c>
      <c r="L135" s="11" t="n">
        <v>240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3">
        <f>IF(tblOrdenes[[#This Row],[fecha_inicio]]="","",TODAY()-tblOrdenes[[#This Row],[fecha_inicio]])</f>
        <v/>
      </c>
      <c r="AB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1">
        <f>IF(tblOrdenes[[#This Row],[orden]]="","",_xlfn.XLOOKUP(tblOrdenes[[#This Row],[id_operacion]],tblEjecucion[id_operacion],tblEjecucion[precio],0))</f>
        <v/>
      </c>
      <c r="AJ135" s="11">
        <f>IF(tblOrdenes[[#This Row],[orden]]="","",MAX(0,_xlfn.XLOOKUP(tblOrdenes[[#This Row],[id_operacion]],tblEjecucion[id_operacion],tblEjecucion[costo_plan_total],0)-tblOrdenes[[#This Row],[costo_servicio]]))</f>
        <v/>
      </c>
      <c r="AK135" s="11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46126</v>
      </c>
      <c r="K136" s="3" t="n">
        <v>8</v>
      </c>
      <c r="L136" s="11" t="n">
        <v>320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3">
        <f>IF(tblOrdenes[[#This Row],[fecha_inicio]]="","",TODAY()-tblOrdenes[[#This Row],[fecha_inicio]])</f>
        <v/>
      </c>
      <c r="AB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/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1">
        <f>IF(tblOrdenes[[#This Row],[orden]]="","",_xlfn.XLOOKUP(tblOrdenes[[#This Row],[id_operacion]],tblEjecucion[id_operacion],tblEjecucion[precio],0))</f>
        <v/>
      </c>
      <c r="AJ136" s="11">
        <f>IF(tblOrdenes[[#This Row],[orden]]="","",MAX(0,_xlfn.XLOOKUP(tblOrdenes[[#This Row],[id_operacion]],tblEjecucion[id_operacion],tblEjecucion[costo_plan_total],0)-tblOrdenes[[#This Row],[costo_servicio]]))</f>
        <v/>
      </c>
      <c r="AK136" s="11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46126</v>
      </c>
      <c r="K137" s="3" t="n">
        <v>4</v>
      </c>
      <c r="L137" s="11" t="n">
        <v>100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3">
        <f>IF(tblOrdenes[[#This Row],[fecha_inicio]]="","",TODAY()-tblOrdenes[[#This Row],[fecha_inicio]])</f>
        <v/>
      </c>
      <c r="AB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/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1">
        <f>IF(tblOrdenes[[#This Row],[orden]]="","",_xlfn.XLOOKUP(tblOrdenes[[#This Row],[id_operacion]],tblEjecucion[id_operacion],tblEjecucion[precio],0))</f>
        <v/>
      </c>
      <c r="AJ137" s="11">
        <f>IF(tblOrdenes[[#This Row],[orden]]="","",MAX(0,_xlfn.XLOOKUP(tblOrdenes[[#This Row],[id_operacion]],tblEjecucion[id_operacion],tblEjecucion[costo_plan_total],0)-tblOrdenes[[#This Row],[costo_servicio]]))</f>
        <v/>
      </c>
      <c r="AK137" s="11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46126</v>
      </c>
      <c r="K138" s="3" t="n">
        <v>6</v>
      </c>
      <c r="L138" s="11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3">
        <f>IF(tblOrdenes[[#This Row],[fecha_inicio]]="","",TODAY()-tblOrdenes[[#This Row],[fecha_inicio]])</f>
        <v/>
      </c>
      <c r="AB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/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1">
        <f>IF(tblOrdenes[[#This Row],[orden]]="","",_xlfn.XLOOKUP(tblOrdenes[[#This Row],[id_operacion]],tblEjecucion[id_operacion],tblEjecucion[precio],0))</f>
        <v/>
      </c>
      <c r="AJ138" s="11">
        <f>IF(tblOrdenes[[#This Row],[orden]]="","",MAX(0,_xlfn.XLOOKUP(tblOrdenes[[#This Row],[id_operacion]],tblEjecucion[id_operacion],tblEjecucion[costo_plan_total],0)-tblOrdenes[[#This Row],[costo_servicio]]))</f>
        <v/>
      </c>
      <c r="AK138" s="11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46126</v>
      </c>
      <c r="K139" s="3" t="n">
        <v>8</v>
      </c>
      <c r="L139" s="11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3">
        <f>IF(tblOrdenes[[#This Row],[fecha_inicio]]="","",TODAY()-tblOrdenes[[#This Row],[fecha_inicio]])</f>
        <v/>
      </c>
      <c r="AB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/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1">
        <f>IF(tblOrdenes[[#This Row],[orden]]="","",_xlfn.XLOOKUP(tblOrdenes[[#This Row],[id_operacion]],tblEjecucion[id_operacion],tblEjecucion[precio],0))</f>
        <v/>
      </c>
      <c r="AJ139" s="11">
        <f>IF(tblOrdenes[[#This Row],[orden]]="","",MAX(0,_xlfn.XLOOKUP(tblOrdenes[[#This Row],[id_operacion]],tblEjecucion[id_operacion],tblEjecucion[costo_plan_total],0)-tblOrdenes[[#This Row],[costo_servicio]]))</f>
        <v/>
      </c>
      <c r="AK139" s="11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46106</v>
      </c>
      <c r="K140" s="3" t="n">
        <v>4</v>
      </c>
      <c r="L140" s="11" t="n">
        <v>160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3">
        <f>IF(tblOrdenes[[#This Row],[fecha_inicio]]="","",TODAY()-tblOrdenes[[#This Row],[fecha_inicio]])</f>
        <v/>
      </c>
      <c r="AB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/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1">
        <f>IF(tblOrdenes[[#This Row],[orden]]="","",_xlfn.XLOOKUP(tblOrdenes[[#This Row],[id_operacion]],tblEjecucion[id_operacion],tblEjecucion[precio],0))</f>
        <v/>
      </c>
      <c r="AJ140" s="11">
        <f>IF(tblOrdenes[[#This Row],[orden]]="","",MAX(0,_xlfn.XLOOKUP(tblOrdenes[[#This Row],[id_operacion]],tblEjecucion[id_operacion],tblEjecucion[costo_plan_total],0)-tblOrdenes[[#This Row],[costo_servicio]]))</f>
        <v/>
      </c>
      <c r="AK140" s="11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46106</v>
      </c>
      <c r="K141" s="3" t="n">
        <v>6</v>
      </c>
      <c r="L141" s="11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3">
        <f>IF(tblOrdenes[[#This Row],[fecha_inicio]]="","",TODAY()-tblOrdenes[[#This Row],[fecha_inicio]])</f>
        <v/>
      </c>
      <c r="AB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1">
        <f>IF(tblOrdenes[[#This Row],[orden]]="","",_xlfn.XLOOKUP(tblOrdenes[[#This Row],[id_operacion]],tblEjecucion[id_operacion],tblEjecucion[precio],0))</f>
        <v/>
      </c>
      <c r="AJ141" s="11">
        <f>IF(tblOrdenes[[#This Row],[orden]]="","",MAX(0,_xlfn.XLOOKUP(tblOrdenes[[#This Row],[id_operacion]],tblEjecucion[id_operacion],tblEjecucion[costo_plan_total],0)-tblOrdenes[[#This Row],[costo_servicio]]))</f>
        <v/>
      </c>
      <c r="AK141" s="11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46106</v>
      </c>
      <c r="K142" s="3" t="n">
        <v>8</v>
      </c>
      <c r="L142" s="11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3">
        <f>IF(tblOrdenes[[#This Row],[fecha_inicio]]="","",TODAY()-tblOrdenes[[#This Row],[fecha_inicio]])</f>
        <v/>
      </c>
      <c r="AB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1">
        <f>IF(tblOrdenes[[#This Row],[orden]]="","",_xlfn.XLOOKUP(tblOrdenes[[#This Row],[id_operacion]],tblEjecucion[id_operacion],tblEjecucion[precio],0))</f>
        <v/>
      </c>
      <c r="AJ142" s="11">
        <f>IF(tblOrdenes[[#This Row],[orden]]="","",MAX(0,_xlfn.XLOOKUP(tblOrdenes[[#This Row],[id_operacion]],tblEjecucion[id_operacion],tblEjecucion[costo_plan_total],0)-tblOrdenes[[#This Row],[costo_servicio]]))</f>
        <v/>
      </c>
      <c r="AK142" s="11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46106</v>
      </c>
      <c r="K143" s="3" t="n">
        <v>4</v>
      </c>
      <c r="L143" s="11" t="n">
        <v>100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3">
        <f>IF(tblOrdenes[[#This Row],[fecha_inicio]]="","",TODAY()-tblOrdenes[[#This Row],[fecha_inicio]])</f>
        <v/>
      </c>
      <c r="AB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1">
        <f>IF(tblOrdenes[[#This Row],[orden]]="","",_xlfn.XLOOKUP(tblOrdenes[[#This Row],[id_operacion]],tblEjecucion[id_operacion],tblEjecucion[precio],0))</f>
        <v/>
      </c>
      <c r="AJ143" s="11">
        <f>IF(tblOrdenes[[#This Row],[orden]]="","",MAX(0,_xlfn.XLOOKUP(tblOrdenes[[#This Row],[id_operacion]],tblEjecucion[id_operacion],tblEjecucion[costo_plan_total],0)-tblOrdenes[[#This Row],[costo_servicio]]))</f>
        <v/>
      </c>
      <c r="AK143" s="11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46076</v>
      </c>
      <c r="K144" s="3" t="n">
        <v>4</v>
      </c>
      <c r="L144" s="11" t="n">
        <v>160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3">
        <f>IF(tblOrdenes[[#This Row],[fecha_inicio]]="","",TODAY()-tblOrdenes[[#This Row],[fecha_inicio]])</f>
        <v/>
      </c>
      <c r="AB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1">
        <f>IF(tblOrdenes[[#This Row],[orden]]="","",_xlfn.XLOOKUP(tblOrdenes[[#This Row],[id_operacion]],tblEjecucion[id_operacion],tblEjecucion[precio],0))</f>
        <v/>
      </c>
      <c r="AJ144" s="11">
        <f>IF(tblOrdenes[[#This Row],[orden]]="","",MAX(0,_xlfn.XLOOKUP(tblOrdenes[[#This Row],[id_operacion]],tblEjecucion[id_operacion],tblEjecucion[costo_plan_total],0)-tblOrdenes[[#This Row],[costo_servicio]]))</f>
        <v/>
      </c>
      <c r="AK144" s="11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46076</v>
      </c>
      <c r="K145" s="3" t="n">
        <v>6</v>
      </c>
      <c r="L145" s="11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3">
        <f>IF(tblOrdenes[[#This Row],[fecha_inicio]]="","",TODAY()-tblOrdenes[[#This Row],[fecha_inicio]])</f>
        <v/>
      </c>
      <c r="AB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1">
        <f>IF(tblOrdenes[[#This Row],[orden]]="","",_xlfn.XLOOKUP(tblOrdenes[[#This Row],[id_operacion]],tblEjecucion[id_operacion],tblEjecucion[precio],0))</f>
        <v/>
      </c>
      <c r="AJ145" s="11">
        <f>IF(tblOrdenes[[#This Row],[orden]]="","",MAX(0,_xlfn.XLOOKUP(tblOrdenes[[#This Row],[id_operacion]],tblEjecucion[id_operacion],tblEjecucion[costo_plan_total],0)-tblOrdenes[[#This Row],[costo_servicio]]))</f>
        <v/>
      </c>
      <c r="AK145" s="11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46076</v>
      </c>
      <c r="K146" s="3" t="n">
        <v>8</v>
      </c>
      <c r="L146" s="11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3">
        <f>IF(tblOrdenes[[#This Row],[fecha_inicio]]="","",TODAY()-tblOrdenes[[#This Row],[fecha_inicio]])</f>
        <v/>
      </c>
      <c r="AB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1">
        <f>IF(tblOrdenes[[#This Row],[orden]]="","",_xlfn.XLOOKUP(tblOrdenes[[#This Row],[id_operacion]],tblEjecucion[id_operacion],tblEjecucion[precio],0))</f>
        <v/>
      </c>
      <c r="AJ146" s="11">
        <f>IF(tblOrdenes[[#This Row],[orden]]="","",MAX(0,_xlfn.XLOOKUP(tblOrdenes[[#This Row],[id_operacion]],tblEjecucion[id_operacion],tblEjecucion[costo_plan_total],0)-tblOrdenes[[#This Row],[costo_servicio]]))</f>
        <v/>
      </c>
      <c r="AK146" s="11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46076</v>
      </c>
      <c r="K147" s="3" t="n">
        <v>4</v>
      </c>
      <c r="L147" s="11" t="n">
        <v>100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3">
        <f>IF(tblOrdenes[[#This Row],[fecha_inicio]]="","",TODAY()-tblOrdenes[[#This Row],[fecha_inicio]])</f>
        <v/>
      </c>
      <c r="AB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1">
        <f>IF(tblOrdenes[[#This Row],[orden]]="","",_xlfn.XLOOKUP(tblOrdenes[[#This Row],[id_operacion]],tblEjecucion[id_operacion],tblEjecucion[precio],0))</f>
        <v/>
      </c>
      <c r="AJ147" s="11">
        <f>IF(tblOrdenes[[#This Row],[orden]]="","",MAX(0,_xlfn.XLOOKUP(tblOrdenes[[#This Row],[id_operacion]],tblEjecucion[id_operacion],tblEjecucion[costo_plan_total],0)-tblOrdenes[[#This Row],[costo_servicio]]))</f>
        <v/>
      </c>
      <c r="AK147" s="11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46186</v>
      </c>
      <c r="K148" s="3" t="n">
        <v>4</v>
      </c>
      <c r="L148" s="11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3">
        <f>IF(tblOrdenes[[#This Row],[fecha_inicio]]="","",TODAY()-tblOrdenes[[#This Row],[fecha_inicio]])</f>
        <v/>
      </c>
      <c r="AB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1">
        <f>IF(tblOrdenes[[#This Row],[orden]]="","",_xlfn.XLOOKUP(tblOrdenes[[#This Row],[id_operacion]],tblEjecucion[id_operacion],tblEjecucion[precio],0))</f>
        <v/>
      </c>
      <c r="AJ148" s="11">
        <f>IF(tblOrdenes[[#This Row],[orden]]="","",MAX(0,_xlfn.XLOOKUP(tblOrdenes[[#This Row],[id_operacion]],tblEjecucion[id_operacion],tblEjecucion[costo_plan_total],0)-tblOrdenes[[#This Row],[costo_servicio]]))</f>
        <v/>
      </c>
      <c r="AK148" s="11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46179</v>
      </c>
      <c r="K149" s="3" t="n">
        <v>6</v>
      </c>
      <c r="L149" s="11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3">
        <f>IF(tblOrdenes[[#This Row],[fecha_inicio]]="","",TODAY()-tblOrdenes[[#This Row],[fecha_inicio]])</f>
        <v/>
      </c>
      <c r="AB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1">
        <f>IF(tblOrdenes[[#This Row],[orden]]="","",_xlfn.XLOOKUP(tblOrdenes[[#This Row],[id_operacion]],tblEjecucion[id_operacion],tblEjecucion[precio],0))</f>
        <v/>
      </c>
      <c r="AJ149" s="11">
        <f>IF(tblOrdenes[[#This Row],[orden]]="","",MAX(0,_xlfn.XLOOKUP(tblOrdenes[[#This Row],[id_operacion]],tblEjecucion[id_operacion],tblEjecucion[costo_plan_total],0)-tblOrdenes[[#This Row],[costo_servicio]]))</f>
        <v/>
      </c>
      <c r="AK149" s="11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46172</v>
      </c>
      <c r="K150" s="3" t="n">
        <v>8</v>
      </c>
      <c r="L150" s="11" t="n">
        <v>200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3">
        <f>IF(tblOrdenes[[#This Row],[fecha_inicio]]="","",TODAY()-tblOrdenes[[#This Row],[fecha_inicio]])</f>
        <v/>
      </c>
      <c r="AB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1">
        <f>IF(tblOrdenes[[#This Row],[orden]]="","",_xlfn.XLOOKUP(tblOrdenes[[#This Row],[id_operacion]],tblEjecucion[id_operacion],tblEjecucion[precio],0))</f>
        <v/>
      </c>
      <c r="AJ150" s="11">
        <f>IF(tblOrdenes[[#This Row],[orden]]="","",MAX(0,_xlfn.XLOOKUP(tblOrdenes[[#This Row],[id_operacion]],tblEjecucion[id_operacion],tblEjecucion[costo_plan_total],0)-tblOrdenes[[#This Row],[costo_servicio]]))</f>
        <v/>
      </c>
      <c r="AK150" s="11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46165</v>
      </c>
      <c r="K151" s="3" t="n">
        <v>4</v>
      </c>
      <c r="L151" s="11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3">
        <f>IF(tblOrdenes[[#This Row],[fecha_inicio]]="","",TODAY()-tblOrdenes[[#This Row],[fecha_inicio]])</f>
        <v/>
      </c>
      <c r="AB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1">
        <f>IF(tblOrdenes[[#This Row],[orden]]="","",_xlfn.XLOOKUP(tblOrdenes[[#This Row],[id_operacion]],tblEjecucion[id_operacion],tblEjecucion[precio],0))</f>
        <v/>
      </c>
      <c r="AJ151" s="11">
        <f>IF(tblOrdenes[[#This Row],[orden]]="","",MAX(0,_xlfn.XLOOKUP(tblOrdenes[[#This Row],[id_operacion]],tblEjecucion[id_operacion],tblEjecucion[costo_plan_total],0)-tblOrdenes[[#This Row],[costo_servicio]]))</f>
        <v/>
      </c>
      <c r="AK151" s="11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46158</v>
      </c>
      <c r="K152" s="3" t="n">
        <v>6</v>
      </c>
      <c r="L152" s="11" t="n">
        <v>150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3">
        <f>IF(tblOrdenes[[#This Row],[fecha_inicio]]="","",TODAY()-tblOrdenes[[#This Row],[fecha_inicio]])</f>
        <v/>
      </c>
      <c r="AB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1">
        <f>IF(tblOrdenes[[#This Row],[orden]]="","",_xlfn.XLOOKUP(tblOrdenes[[#This Row],[id_operacion]],tblEjecucion[id_operacion],tblEjecucion[precio],0))</f>
        <v/>
      </c>
      <c r="AJ152" s="11">
        <f>IF(tblOrdenes[[#This Row],[orden]]="","",MAX(0,_xlfn.XLOOKUP(tblOrdenes[[#This Row],[id_operacion]],tblEjecucion[id_operacion],tblEjecucion[costo_plan_total],0)-tblOrdenes[[#This Row],[costo_servicio]]))</f>
        <v/>
      </c>
      <c r="AK152" s="11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46151</v>
      </c>
      <c r="K153" s="3" t="n">
        <v>8</v>
      </c>
      <c r="L153" s="11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3">
        <f>IF(tblOrdenes[[#This Row],[fecha_inicio]]="","",TODAY()-tblOrdenes[[#This Row],[fecha_inicio]])</f>
        <v/>
      </c>
      <c r="AB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1">
        <f>IF(tblOrdenes[[#This Row],[orden]]="","",_xlfn.XLOOKUP(tblOrdenes[[#This Row],[id_operacion]],tblEjecucion[id_operacion],tblEjecucion[precio],0))</f>
        <v/>
      </c>
      <c r="AJ153" s="11">
        <f>IF(tblOrdenes[[#This Row],[orden]]="","",MAX(0,_xlfn.XLOOKUP(tblOrdenes[[#This Row],[id_operacion]],tblEjecucion[id_operacion],tblEjecucion[costo_plan_total],0)-tblOrdenes[[#This Row],[costo_servicio]]))</f>
        <v/>
      </c>
      <c r="AK153" s="11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46144</v>
      </c>
      <c r="K154" s="3" t="n">
        <v>4</v>
      </c>
      <c r="L154" s="11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3">
        <f>IF(tblOrdenes[[#This Row],[fecha_inicio]]="","",TODAY()-tblOrdenes[[#This Row],[fecha_inicio]])</f>
        <v/>
      </c>
      <c r="AB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1">
        <f>IF(tblOrdenes[[#This Row],[orden]]="","",_xlfn.XLOOKUP(tblOrdenes[[#This Row],[id_operacion]],tblEjecucion[id_operacion],tblEjecucion[precio],0))</f>
        <v/>
      </c>
      <c r="AJ154" s="11">
        <f>IF(tblOrdenes[[#This Row],[orden]]="","",MAX(0,_xlfn.XLOOKUP(tblOrdenes[[#This Row],[id_operacion]],tblEjecucion[id_operacion],tblEjecucion[costo_plan_total],0)-tblOrdenes[[#This Row],[costo_servicio]]))</f>
        <v/>
      </c>
      <c r="AK154" s="11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46137</v>
      </c>
      <c r="K155" s="3" t="n">
        <v>6</v>
      </c>
      <c r="L155" s="11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3">
        <f>IF(tblOrdenes[[#This Row],[fecha_inicio]]="","",TODAY()-tblOrdenes[[#This Row],[fecha_inicio]])</f>
        <v/>
      </c>
      <c r="AB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1">
        <f>IF(tblOrdenes[[#This Row],[orden]]="","",_xlfn.XLOOKUP(tblOrdenes[[#This Row],[id_operacion]],tblEjecucion[id_operacion],tblEjecucion[precio],0))</f>
        <v/>
      </c>
      <c r="AJ155" s="11">
        <f>IF(tblOrdenes[[#This Row],[orden]]="","",MAX(0,_xlfn.XLOOKUP(tblOrdenes[[#This Row],[id_operacion]],tblEjecucion[id_operacion],tblEjecucion[costo_plan_total],0)-tblOrdenes[[#This Row],[costo_servicio]]))</f>
        <v/>
      </c>
      <c r="AK155" s="11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46130</v>
      </c>
      <c r="K156" s="3" t="n">
        <v>8</v>
      </c>
      <c r="L156" s="11" t="n">
        <v>200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3">
        <f>IF(tblOrdenes[[#This Row],[fecha_inicio]]="","",TODAY()-tblOrdenes[[#This Row],[fecha_inicio]])</f>
        <v/>
      </c>
      <c r="AB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1">
        <f>IF(tblOrdenes[[#This Row],[orden]]="","",_xlfn.XLOOKUP(tblOrdenes[[#This Row],[id_operacion]],tblEjecucion[id_operacion],tblEjecucion[precio],0))</f>
        <v/>
      </c>
      <c r="AJ156" s="11">
        <f>IF(tblOrdenes[[#This Row],[orden]]="","",MAX(0,_xlfn.XLOOKUP(tblOrdenes[[#This Row],[id_operacion]],tblEjecucion[id_operacion],tblEjecucion[costo_plan_total],0)-tblOrdenes[[#This Row],[costo_servicio]]))</f>
        <v/>
      </c>
      <c r="AK156" s="11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46123</v>
      </c>
      <c r="K157" s="3" t="n">
        <v>4</v>
      </c>
      <c r="L157" s="11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3">
        <f>IF(tblOrdenes[[#This Row],[fecha_inicio]]="","",TODAY()-tblOrdenes[[#This Row],[fecha_inicio]])</f>
        <v/>
      </c>
      <c r="AB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1">
        <f>IF(tblOrdenes[[#This Row],[orden]]="","",_xlfn.XLOOKUP(tblOrdenes[[#This Row],[id_operacion]],tblEjecucion[id_operacion],tblEjecucion[precio],0))</f>
        <v/>
      </c>
      <c r="AJ157" s="11">
        <f>IF(tblOrdenes[[#This Row],[orden]]="","",MAX(0,_xlfn.XLOOKUP(tblOrdenes[[#This Row],[id_operacion]],tblEjecucion[id_operacion],tblEjecucion[costo_plan_total],0)-tblOrdenes[[#This Row],[costo_servicio]]))</f>
        <v/>
      </c>
      <c r="AK157" s="11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46116</v>
      </c>
      <c r="K158" s="3" t="n">
        <v>6</v>
      </c>
      <c r="L158" s="11" t="n">
        <v>150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3">
        <f>IF(tblOrdenes[[#This Row],[fecha_inicio]]="","",TODAY()-tblOrdenes[[#This Row],[fecha_inicio]])</f>
        <v/>
      </c>
      <c r="AB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1">
        <f>IF(tblOrdenes[[#This Row],[orden]]="","",_xlfn.XLOOKUP(tblOrdenes[[#This Row],[id_operacion]],tblEjecucion[id_operacion],tblEjecucion[precio],0))</f>
        <v/>
      </c>
      <c r="AJ158" s="11">
        <f>IF(tblOrdenes[[#This Row],[orden]]="","",MAX(0,_xlfn.XLOOKUP(tblOrdenes[[#This Row],[id_operacion]],tblEjecucion[id_operacion],tblEjecucion[costo_plan_total],0)-tblOrdenes[[#This Row],[costo_servicio]]))</f>
        <v/>
      </c>
      <c r="AK158" s="11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46109</v>
      </c>
      <c r="K159" s="3" t="n">
        <v>8</v>
      </c>
      <c r="L159" s="11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3">
        <f>IF(tblOrdenes[[#This Row],[fecha_inicio]]="","",TODAY()-tblOrdenes[[#This Row],[fecha_inicio]])</f>
        <v/>
      </c>
      <c r="AB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1">
        <f>IF(tblOrdenes[[#This Row],[orden]]="","",_xlfn.XLOOKUP(tblOrdenes[[#This Row],[id_operacion]],tblEjecucion[id_operacion],tblEjecucion[precio],0))</f>
        <v/>
      </c>
      <c r="AJ159" s="11">
        <f>IF(tblOrdenes[[#This Row],[orden]]="","",MAX(0,_xlfn.XLOOKUP(tblOrdenes[[#This Row],[id_operacion]],tblEjecucion[id_operacion],tblEjecucion[costo_plan_total],0)-tblOrdenes[[#This Row],[costo_servicio]]))</f>
        <v/>
      </c>
      <c r="AK159" s="11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46102</v>
      </c>
      <c r="K160" s="3" t="n">
        <v>4</v>
      </c>
      <c r="L160" s="11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3">
        <f>IF(tblOrdenes[[#This Row],[fecha_inicio]]="","",TODAY()-tblOrdenes[[#This Row],[fecha_inicio]])</f>
        <v/>
      </c>
      <c r="AB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1">
        <f>IF(tblOrdenes[[#This Row],[orden]]="","",_xlfn.XLOOKUP(tblOrdenes[[#This Row],[id_operacion]],tblEjecucion[id_operacion],tblEjecucion[precio],0))</f>
        <v/>
      </c>
      <c r="AJ160" s="11">
        <f>IF(tblOrdenes[[#This Row],[orden]]="","",MAX(0,_xlfn.XLOOKUP(tblOrdenes[[#This Row],[id_operacion]],tblEjecucion[id_operacion],tblEjecucion[costo_plan_total],0)-tblOrdenes[[#This Row],[costo_servicio]]))</f>
        <v/>
      </c>
      <c r="AK160" s="11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46095</v>
      </c>
      <c r="K161" s="3" t="n">
        <v>6</v>
      </c>
      <c r="L161" s="11" t="n">
        <v>240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3">
        <f>IF(tblOrdenes[[#This Row],[fecha_inicio]]="","",TODAY()-tblOrdenes[[#This Row],[fecha_inicio]])</f>
        <v/>
      </c>
      <c r="AB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1">
        <f>IF(tblOrdenes[[#This Row],[orden]]="","",_xlfn.XLOOKUP(tblOrdenes[[#This Row],[id_operacion]],tblEjecucion[id_operacion],tblEjecucion[precio],0))</f>
        <v/>
      </c>
      <c r="AJ161" s="11">
        <f>IF(tblOrdenes[[#This Row],[orden]]="","",MAX(0,_xlfn.XLOOKUP(tblOrdenes[[#This Row],[id_operacion]],tblEjecucion[id_operacion],tblEjecucion[costo_plan_total],0)-tblOrdenes[[#This Row],[costo_servicio]]))</f>
        <v/>
      </c>
      <c r="AK161" s="11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46088</v>
      </c>
      <c r="K162" s="3" t="n">
        <v>8</v>
      </c>
      <c r="L162" s="11" t="n">
        <v>200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3">
        <f>IF(tblOrdenes[[#This Row],[fecha_inicio]]="","",TODAY()-tblOrdenes[[#This Row],[fecha_inicio]])</f>
        <v/>
      </c>
      <c r="AB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1">
        <f>IF(tblOrdenes[[#This Row],[orden]]="","",_xlfn.XLOOKUP(tblOrdenes[[#This Row],[id_operacion]],tblEjecucion[id_operacion],tblEjecucion[precio],0))</f>
        <v/>
      </c>
      <c r="AJ162" s="11">
        <f>IF(tblOrdenes[[#This Row],[orden]]="","",MAX(0,_xlfn.XLOOKUP(tblOrdenes[[#This Row],[id_operacion]],tblEjecucion[id_operacion],tblEjecucion[costo_plan_total],0)-tblOrdenes[[#This Row],[costo_servicio]]))</f>
        <v/>
      </c>
      <c r="AK162" s="11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46266</v>
      </c>
      <c r="K163" s="3" t="n">
        <v>6</v>
      </c>
      <c r="L163" s="11" t="n">
        <v>150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3">
        <f>IF(tblOrdenes[[#This Row],[fecha_inicio]]="","",TODAY()-tblOrdenes[[#This Row],[fecha_inicio]])</f>
        <v/>
      </c>
      <c r="AB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1">
        <f>IF(tblOrdenes[[#This Row],[orden]]="","",_xlfn.XLOOKUP(tblOrdenes[[#This Row],[id_operacion]],tblEjecucion[id_operacion],tblEjecucion[precio],0))</f>
        <v/>
      </c>
      <c r="AJ163" s="11">
        <f>IF(tblOrdenes[[#This Row],[orden]]="","",MAX(0,_xlfn.XLOOKUP(tblOrdenes[[#This Row],[id_operacion]],tblEjecucion[id_operacion],tblEjecucion[costo_plan_total],0)-tblOrdenes[[#This Row],[costo_servicio]]))</f>
        <v/>
      </c>
      <c r="AK163" s="11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46266</v>
      </c>
      <c r="K164" s="3" t="n">
        <v>6</v>
      </c>
      <c r="L164" s="11" t="n">
        <v>150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3">
        <f>IF(tblOrdenes[[#This Row],[fecha_inicio]]="","",TODAY()-tblOrdenes[[#This Row],[fecha_inicio]])</f>
        <v/>
      </c>
      <c r="AB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1">
        <f>IF(tblOrdenes[[#This Row],[orden]]="","",_xlfn.XLOOKUP(tblOrdenes[[#This Row],[id_operacion]],tblEjecucion[id_operacion],tblEjecucion[precio],0))</f>
        <v/>
      </c>
      <c r="AJ164" s="11">
        <f>IF(tblOrdenes[[#This Row],[orden]]="","",MAX(0,_xlfn.XLOOKUP(tblOrdenes[[#This Row],[id_operacion]],tblEjecucion[id_operacion],tblEjecucion[costo_plan_total],0)-tblOrdenes[[#This Row],[costo_servicio]]))</f>
        <v/>
      </c>
      <c r="AK164" s="11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46266</v>
      </c>
      <c r="K165" s="3" t="n">
        <v>6</v>
      </c>
      <c r="L165" s="11" t="n">
        <v>150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3">
        <f>IF(tblOrdenes[[#This Row],[fecha_inicio]]="","",TODAY()-tblOrdenes[[#This Row],[fecha_inicio]])</f>
        <v/>
      </c>
      <c r="AB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1">
        <f>IF(tblOrdenes[[#This Row],[orden]]="","",_xlfn.XLOOKUP(tblOrdenes[[#This Row],[id_operacion]],tblEjecucion[id_operacion],tblEjecucion[precio],0))</f>
        <v/>
      </c>
      <c r="AJ165" s="11">
        <f>IF(tblOrdenes[[#This Row],[orden]]="","",MAX(0,_xlfn.XLOOKUP(tblOrdenes[[#This Row],[id_operacion]],tblEjecucion[id_operacion],tblEjecucion[costo_plan_total],0)-tblOrdenes[[#This Row],[costo_servicio]]))</f>
        <v/>
      </c>
      <c r="AK165" s="11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46326</v>
      </c>
      <c r="K166" s="3" t="n">
        <v>6</v>
      </c>
      <c r="L166" s="11" t="n">
        <v>150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3">
        <f>IF(tblOrdenes[[#This Row],[fecha_inicio]]="","",TODAY()-tblOrdenes[[#This Row],[fecha_inicio]])</f>
        <v/>
      </c>
      <c r="AB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1">
        <f>IF(tblOrdenes[[#This Row],[orden]]="","",_xlfn.XLOOKUP(tblOrdenes[[#This Row],[id_operacion]],tblEjecucion[id_operacion],tblEjecucion[precio],0))</f>
        <v/>
      </c>
      <c r="AJ166" s="11">
        <f>IF(tblOrdenes[[#This Row],[orden]]="","",MAX(0,_xlfn.XLOOKUP(tblOrdenes[[#This Row],[id_operacion]],tblEjecucion[id_operacion],tblEjecucion[costo_plan_total],0)-tblOrdenes[[#This Row],[costo_servicio]]))</f>
        <v/>
      </c>
      <c r="AK166" s="11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46326</v>
      </c>
      <c r="K167" s="3" t="n">
        <v>6</v>
      </c>
      <c r="L167" s="11" t="n">
        <v>150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3">
        <f>IF(tblOrdenes[[#This Row],[fecha_inicio]]="","",TODAY()-tblOrdenes[[#This Row],[fecha_inicio]])</f>
        <v/>
      </c>
      <c r="AB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1">
        <f>IF(tblOrdenes[[#This Row],[orden]]="","",_xlfn.XLOOKUP(tblOrdenes[[#This Row],[id_operacion]],tblEjecucion[id_operacion],tblEjecucion[precio],0))</f>
        <v/>
      </c>
      <c r="AJ167" s="11">
        <f>IF(tblOrdenes[[#This Row],[orden]]="","",MAX(0,_xlfn.XLOOKUP(tblOrdenes[[#This Row],[id_operacion]],tblEjecucion[id_operacion],tblEjecucion[costo_plan_total],0)-tblOrdenes[[#This Row],[costo_servicio]]))</f>
        <v/>
      </c>
      <c r="AK167" s="11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3">
        <f>IF(tblOrdenes[[#This Row],[fecha_inicio]]="","",TODAY()-tblOrdenes[[#This Row],[fecha_inicio]])</f>
        <v/>
      </c>
      <c r="AB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1">
        <f>IF(tblOrdenes[[#This Row],[orden]]="","",_xlfn.XLOOKUP(tblOrdenes[[#This Row],[id_operacion]],tblEjecucion[id_operacion],tblEjecucion[precio],0))</f>
        <v/>
      </c>
      <c r="AJ168" s="11">
        <f>IF(tblOrdenes[[#This Row],[orden]]="","",MAX(0,_xlfn.XLOOKUP(tblOrdenes[[#This Row],[id_operacion]],tblEjecucion[id_operacion],tblEjecucion[costo_plan_total],0)-tblOrdenes[[#This Row],[costo_servicio]]))</f>
        <v/>
      </c>
      <c r="AK168" s="11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3">
        <f>IF(tblOrdenes[[#This Row],[fecha_inicio]]="","",TODAY()-tblOrdenes[[#This Row],[fecha_inicio]])</f>
        <v/>
      </c>
      <c r="AB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1">
        <f>IF(tblOrdenes[[#This Row],[orden]]="","",_xlfn.XLOOKUP(tblOrdenes[[#This Row],[id_operacion]],tblEjecucion[id_operacion],tblEjecucion[precio],0))</f>
        <v/>
      </c>
      <c r="AJ169" s="11">
        <f>IF(tblOrdenes[[#This Row],[orden]]="","",MAX(0,_xlfn.XLOOKUP(tblOrdenes[[#This Row],[id_operacion]],tblEjecucion[id_operacion],tblEjecucion[costo_plan_total],0)-tblOrdenes[[#This Row],[costo_servicio]]))</f>
        <v/>
      </c>
      <c r="AK169" s="11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3">
        <f>IF(tblOrdenes[[#This Row],[fecha_inicio]]="","",TODAY()-tblOrdenes[[#This Row],[fecha_inicio]])</f>
        <v/>
      </c>
      <c r="AB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1">
        <f>IF(tblOrdenes[[#This Row],[orden]]="","",_xlfn.XLOOKUP(tblOrdenes[[#This Row],[id_operacion]],tblEjecucion[id_operacion],tblEjecucion[precio],0))</f>
        <v/>
      </c>
      <c r="AJ170" s="11">
        <f>IF(tblOrdenes[[#This Row],[orden]]="","",MAX(0,_xlfn.XLOOKUP(tblOrdenes[[#This Row],[id_operacion]],tblEjecucion[id_operacion],tblEjecucion[costo_plan_total],0)-tblOrdenes[[#This Row],[costo_servicio]]))</f>
        <v/>
      </c>
      <c r="AK170" s="11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46176</v>
      </c>
      <c r="K171" s="3" t="n">
        <v>6</v>
      </c>
      <c r="L171" s="11" t="n">
        <v>240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3">
        <f>IF(tblOrdenes[[#This Row],[fecha_inicio]]="","",TODAY()-tblOrdenes[[#This Row],[fecha_inicio]])</f>
        <v/>
      </c>
      <c r="AB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1">
        <f>IF(tblOrdenes[[#This Row],[orden]]="","",_xlfn.XLOOKUP(tblOrdenes[[#This Row],[id_operacion]],tblEjecucion[id_operacion],tblEjecucion[precio],0))</f>
        <v/>
      </c>
      <c r="AJ171" s="11">
        <f>IF(tblOrdenes[[#This Row],[orden]]="","",MAX(0,_xlfn.XLOOKUP(tblOrdenes[[#This Row],[id_operacion]],tblEjecucion[id_operacion],tblEjecucion[costo_plan_total],0)-tblOrdenes[[#This Row],[costo_servicio]]))</f>
        <v/>
      </c>
      <c r="AK171" s="11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46176</v>
      </c>
      <c r="K172" s="3" t="n">
        <v>6</v>
      </c>
      <c r="L172" s="11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3">
        <f>IF(tblOrdenes[[#This Row],[fecha_inicio]]="","",TODAY()-tblOrdenes[[#This Row],[fecha_inicio]])</f>
        <v/>
      </c>
      <c r="AB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1">
        <f>IF(tblOrdenes[[#This Row],[orden]]="","",_xlfn.XLOOKUP(tblOrdenes[[#This Row],[id_operacion]],tblEjecucion[id_operacion],tblEjecucion[precio],0))</f>
        <v/>
      </c>
      <c r="AJ172" s="11">
        <f>IF(tblOrdenes[[#This Row],[orden]]="","",MAX(0,_xlfn.XLOOKUP(tblOrdenes[[#This Row],[id_operacion]],tblEjecucion[id_operacion],tblEjecucion[costo_plan_total],0)-tblOrdenes[[#This Row],[costo_servicio]]))</f>
        <v/>
      </c>
      <c r="AK172" s="11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3">
        <f>IF(tblOrdenes[[#This Row],[fecha_inicio]]="","",TODAY()-tblOrdenes[[#This Row],[fecha_inicio]])</f>
        <v/>
      </c>
      <c r="AB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1">
        <f>IF(tblOrdenes[[#This Row],[orden]]="","",_xlfn.XLOOKUP(tblOrdenes[[#This Row],[id_operacion]],tblEjecucion[id_operacion],tblEjecucion[precio],0))</f>
        <v/>
      </c>
      <c r="AJ173" s="11">
        <f>IF(tblOrdenes[[#This Row],[orden]]="","",MAX(0,_xlfn.XLOOKUP(tblOrdenes[[#This Row],[id_operacion]],tblEjecucion[id_operacion],tblEjecucion[costo_plan_total],0)-tblOrdenes[[#This Row],[costo_servicio]]))</f>
        <v/>
      </c>
      <c r="AK173" s="11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3">
        <f>IF(tblOrdenes[[#This Row],[fecha_inicio]]="","",TODAY()-tblOrdenes[[#This Row],[fecha_inicio]])</f>
        <v/>
      </c>
      <c r="AB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1">
        <f>IF(tblOrdenes[[#This Row],[orden]]="","",_xlfn.XLOOKUP(tblOrdenes[[#This Row],[id_operacion]],tblEjecucion[id_operacion],tblEjecucion[precio],0))</f>
        <v/>
      </c>
      <c r="AJ174" s="11">
        <f>IF(tblOrdenes[[#This Row],[orden]]="","",MAX(0,_xlfn.XLOOKUP(tblOrdenes[[#This Row],[id_operacion]],tblEjecucion[id_operacion],tblEjecucion[costo_plan_total],0)-tblOrdenes[[#This Row],[costo_servicio]]))</f>
        <v/>
      </c>
      <c r="AK174" s="11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46171</v>
      </c>
      <c r="K175" s="3" t="n"/>
      <c r="L175" s="11" t="n">
        <v>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3">
        <f>IF(tblOrdenes[[#This Row],[fecha_inicio]]="","",TODAY()-tblOrdenes[[#This Row],[fecha_inicio]])</f>
        <v/>
      </c>
      <c r="AB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1">
        <f>IF(tblOrdenes[[#This Row],[orden]]="","",_xlfn.XLOOKUP(tblOrdenes[[#This Row],[id_operacion]],tblEjecucion[id_operacion],tblEjecucion[precio],0))</f>
        <v/>
      </c>
      <c r="AJ175" s="11">
        <f>IF(tblOrdenes[[#This Row],[orden]]="","",MAX(0,_xlfn.XLOOKUP(tblOrdenes[[#This Row],[id_operacion]],tblEjecucion[id_operacion],tblEjecucion[costo_plan_total],0)-tblOrdenes[[#This Row],[costo_servicio]]))</f>
        <v/>
      </c>
      <c r="AK175" s="11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46171</v>
      </c>
      <c r="K176" s="3" t="n"/>
      <c r="L176" s="11" t="n">
        <v>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3">
        <f>IF(tblOrdenes[[#This Row],[fecha_inicio]]="","",TODAY()-tblOrdenes[[#This Row],[fecha_inicio]])</f>
        <v/>
      </c>
      <c r="AB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1">
        <f>IF(tblOrdenes[[#This Row],[orden]]="","",_xlfn.XLOOKUP(tblOrdenes[[#This Row],[id_operacion]],tblEjecucion[id_operacion],tblEjecucion[precio],0))</f>
        <v/>
      </c>
      <c r="AJ176" s="11">
        <f>IF(tblOrdenes[[#This Row],[orden]]="","",MAX(0,_xlfn.XLOOKUP(tblOrdenes[[#This Row],[id_operacion]],tblEjecucion[id_operacion],tblEjecucion[costo_plan_total],0)-tblOrdenes[[#This Row],[costo_servicio]]))</f>
        <v/>
      </c>
      <c r="AK176" s="11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46166</v>
      </c>
      <c r="K177" s="3" t="n">
        <v>4</v>
      </c>
      <c r="L177" s="11" t="n">
        <v>160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3">
        <f>IF(tblOrdenes[[#This Row],[fecha_inicio]]="","",TODAY()-tblOrdenes[[#This Row],[fecha_inicio]])</f>
        <v/>
      </c>
      <c r="AB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1">
        <f>IF(tblOrdenes[[#This Row],[orden]]="","",_xlfn.XLOOKUP(tblOrdenes[[#This Row],[id_operacion]],tblEjecucion[id_operacion],tblEjecucion[precio],0))</f>
        <v/>
      </c>
      <c r="AJ177" s="11">
        <f>IF(tblOrdenes[[#This Row],[orden]]="","",MAX(0,_xlfn.XLOOKUP(tblOrdenes[[#This Row],[id_operacion]],tblEjecucion[id_operacion],tblEjecucion[costo_plan_total],0)-tblOrdenes[[#This Row],[costo_servicio]]))</f>
        <v/>
      </c>
      <c r="AK177" s="11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46166</v>
      </c>
      <c r="K178" s="3" t="n">
        <v>4</v>
      </c>
      <c r="L178" s="11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3">
        <f>IF(tblOrdenes[[#This Row],[fecha_inicio]]="","",TODAY()-tblOrdenes[[#This Row],[fecha_inicio]])</f>
        <v/>
      </c>
      <c r="AB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1">
        <f>IF(tblOrdenes[[#This Row],[orden]]="","",_xlfn.XLOOKUP(tblOrdenes[[#This Row],[id_operacion]],tblEjecucion[id_operacion],tblEjecucion[precio],0))</f>
        <v/>
      </c>
      <c r="AJ178" s="11">
        <f>IF(tblOrdenes[[#This Row],[orden]]="","",MAX(0,_xlfn.XLOOKUP(tblOrdenes[[#This Row],[id_operacion]],tblEjecucion[id_operacion],tblEjecucion[costo_plan_total],0)-tblOrdenes[[#This Row],[costo_servicio]]))</f>
        <v/>
      </c>
      <c r="AK178" s="11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46164</v>
      </c>
      <c r="K179" s="3" t="n">
        <v>4</v>
      </c>
      <c r="L179" s="11" t="n">
        <v>160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3">
        <f>IF(tblOrdenes[[#This Row],[fecha_inicio]]="","",TODAY()-tblOrdenes[[#This Row],[fecha_inicio]])</f>
        <v/>
      </c>
      <c r="AB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1">
        <f>IF(tblOrdenes[[#This Row],[orden]]="","",_xlfn.XLOOKUP(tblOrdenes[[#This Row],[id_operacion]],tblEjecucion[id_operacion],tblEjecucion[precio],0))</f>
        <v/>
      </c>
      <c r="AJ179" s="11">
        <f>IF(tblOrdenes[[#This Row],[orden]]="","",MAX(0,_xlfn.XLOOKUP(tblOrdenes[[#This Row],[id_operacion]],tblEjecucion[id_operacion],tblEjecucion[costo_plan_total],0)-tblOrdenes[[#This Row],[costo_servicio]]))</f>
        <v/>
      </c>
      <c r="AK179" s="11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46164</v>
      </c>
      <c r="K180" s="3" t="n">
        <v>4</v>
      </c>
      <c r="L180" s="11" t="n">
        <v>160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3">
        <f>IF(tblOrdenes[[#This Row],[fecha_inicio]]="","",TODAY()-tblOrdenes[[#This Row],[fecha_inicio]])</f>
        <v/>
      </c>
      <c r="AB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1">
        <f>IF(tblOrdenes[[#This Row],[orden]]="","",_xlfn.XLOOKUP(tblOrdenes[[#This Row],[id_operacion]],tblEjecucion[id_operacion],tblEjecucion[precio],0))</f>
        <v/>
      </c>
      <c r="AJ180" s="11">
        <f>IF(tblOrdenes[[#This Row],[orden]]="","",MAX(0,_xlfn.XLOOKUP(tblOrdenes[[#This Row],[id_operacion]],tblEjecucion[id_operacion],tblEjecucion[costo_plan_total],0)-tblOrdenes[[#This Row],[costo_servicio]]))</f>
        <v/>
      </c>
      <c r="AK180" s="11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46162</v>
      </c>
      <c r="K181" s="3" t="n">
        <v>4</v>
      </c>
      <c r="L181" s="11" t="n">
        <v>160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3">
        <f>IF(tblOrdenes[[#This Row],[fecha_inicio]]="","",TODAY()-tblOrdenes[[#This Row],[fecha_inicio]])</f>
        <v/>
      </c>
      <c r="AB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1">
        <f>IF(tblOrdenes[[#This Row],[orden]]="","",_xlfn.XLOOKUP(tblOrdenes[[#This Row],[id_operacion]],tblEjecucion[id_operacion],tblEjecucion[precio],0))</f>
        <v/>
      </c>
      <c r="AJ181" s="11">
        <f>IF(tblOrdenes[[#This Row],[orden]]="","",MAX(0,_xlfn.XLOOKUP(tblOrdenes[[#This Row],[id_operacion]],tblEjecucion[id_operacion],tblEjecucion[costo_plan_total],0)-tblOrdenes[[#This Row],[costo_servicio]]))</f>
        <v/>
      </c>
      <c r="AK181" s="11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46191</v>
      </c>
      <c r="K182" s="3" t="n">
        <v>2</v>
      </c>
      <c r="L182" s="11" t="n">
        <v>80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3">
        <f>IF(tblOrdenes[[#This Row],[fecha_inicio]]="","",TODAY()-tblOrdenes[[#This Row],[fecha_inicio]])</f>
        <v/>
      </c>
      <c r="AB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1">
        <f>IF(tblOrdenes[[#This Row],[orden]]="","",_xlfn.XLOOKUP(tblOrdenes[[#This Row],[id_operacion]],tblEjecucion[id_operacion],tblEjecucion[precio],0))</f>
        <v/>
      </c>
      <c r="AJ182" s="11">
        <f>IF(tblOrdenes[[#This Row],[orden]]="","",MAX(0,_xlfn.XLOOKUP(tblOrdenes[[#This Row],[id_operacion]],tblEjecucion[id_operacion],tblEjecucion[costo_plan_total],0)-tblOrdenes[[#This Row],[costo_servicio]]))</f>
        <v/>
      </c>
      <c r="AK182" s="11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46190</v>
      </c>
      <c r="K183" s="3" t="n">
        <v>2</v>
      </c>
      <c r="L183" s="11" t="n">
        <v>80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3">
        <f>IF(tblOrdenes[[#This Row],[fecha_inicio]]="","",TODAY()-tblOrdenes[[#This Row],[fecha_inicio]])</f>
        <v/>
      </c>
      <c r="AB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1">
        <f>IF(tblOrdenes[[#This Row],[orden]]="","",_xlfn.XLOOKUP(tblOrdenes[[#This Row],[id_operacion]],tblEjecucion[id_operacion],tblEjecucion[precio],0))</f>
        <v/>
      </c>
      <c r="AJ183" s="11">
        <f>IF(tblOrdenes[[#This Row],[orden]]="","",MAX(0,_xlfn.XLOOKUP(tblOrdenes[[#This Row],[id_operacion]],tblEjecucion[id_operacion],tblEjecucion[costo_plan_total],0)-tblOrdenes[[#This Row],[costo_servicio]]))</f>
        <v/>
      </c>
      <c r="AK183" s="11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46189</v>
      </c>
      <c r="K184" s="3" t="n">
        <v>2</v>
      </c>
      <c r="L184" s="11" t="n">
        <v>80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3">
        <f>IF(tblOrdenes[[#This Row],[fecha_inicio]]="","",TODAY()-tblOrdenes[[#This Row],[fecha_inicio]])</f>
        <v/>
      </c>
      <c r="AB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1">
        <f>IF(tblOrdenes[[#This Row],[orden]]="","",_xlfn.XLOOKUP(tblOrdenes[[#This Row],[id_operacion]],tblEjecucion[id_operacion],tblEjecucion[precio],0))</f>
        <v/>
      </c>
      <c r="AJ184" s="11">
        <f>IF(tblOrdenes[[#This Row],[orden]]="","",MAX(0,_xlfn.XLOOKUP(tblOrdenes[[#This Row],[id_operacion]],tblEjecucion[id_operacion],tblEjecucion[costo_plan_total],0)-tblOrdenes[[#This Row],[costo_servicio]]))</f>
        <v/>
      </c>
      <c r="AK184" s="11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46188</v>
      </c>
      <c r="K185" s="3" t="n">
        <v>2</v>
      </c>
      <c r="L185" s="11" t="n">
        <v>80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3">
        <f>IF(tblOrdenes[[#This Row],[fecha_inicio]]="","",TODAY()-tblOrdenes[[#This Row],[fecha_inicio]])</f>
        <v/>
      </c>
      <c r="AB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1">
        <f>IF(tblOrdenes[[#This Row],[orden]]="","",_xlfn.XLOOKUP(tblOrdenes[[#This Row],[id_operacion]],tblEjecucion[id_operacion],tblEjecucion[precio],0))</f>
        <v/>
      </c>
      <c r="AJ185" s="11">
        <f>IF(tblOrdenes[[#This Row],[orden]]="","",MAX(0,_xlfn.XLOOKUP(tblOrdenes[[#This Row],[id_operacion]],tblEjecucion[id_operacion],tblEjecucion[costo_plan_total],0)-tblOrdenes[[#This Row],[costo_servicio]]))</f>
        <v/>
      </c>
      <c r="AK185" s="11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46187</v>
      </c>
      <c r="K186" s="3" t="n">
        <v>2</v>
      </c>
      <c r="L186" s="11" t="n">
        <v>80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3">
        <f>IF(tblOrdenes[[#This Row],[fecha_inicio]]="","",TODAY()-tblOrdenes[[#This Row],[fecha_inicio]])</f>
        <v/>
      </c>
      <c r="AB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1">
        <f>IF(tblOrdenes[[#This Row],[orden]]="","",_xlfn.XLOOKUP(tblOrdenes[[#This Row],[id_operacion]],tblEjecucion[id_operacion],tblEjecucion[precio],0))</f>
        <v/>
      </c>
      <c r="AJ186" s="11">
        <f>IF(tblOrdenes[[#This Row],[orden]]="","",MAX(0,_xlfn.XLOOKUP(tblOrdenes[[#This Row],[id_operacion]],tblEjecucion[id_operacion],tblEjecucion[costo_plan_total],0)-tblOrdenes[[#This Row],[costo_servicio]]))</f>
        <v/>
      </c>
      <c r="AK186" s="11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46186</v>
      </c>
      <c r="K187" s="3" t="n">
        <v>2</v>
      </c>
      <c r="L187" s="11" t="n">
        <v>80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3">
        <f>IF(tblOrdenes[[#This Row],[fecha_inicio]]="","",TODAY()-tblOrdenes[[#This Row],[fecha_inicio]])</f>
        <v/>
      </c>
      <c r="AB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1">
        <f>IF(tblOrdenes[[#This Row],[orden]]="","",_xlfn.XLOOKUP(tblOrdenes[[#This Row],[id_operacion]],tblEjecucion[id_operacion],tblEjecucion[precio],0))</f>
        <v/>
      </c>
      <c r="AJ187" s="11">
        <f>IF(tblOrdenes[[#This Row],[orden]]="","",MAX(0,_xlfn.XLOOKUP(tblOrdenes[[#This Row],[id_operacion]],tblEjecucion[id_operacion],tblEjecucion[costo_plan_total],0)-tblOrdenes[[#This Row],[costo_servicio]]))</f>
        <v/>
      </c>
      <c r="AK187" s="11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46185</v>
      </c>
      <c r="K188" s="3" t="n">
        <v>2</v>
      </c>
      <c r="L188" s="11" t="n">
        <v>80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3">
        <f>IF(tblOrdenes[[#This Row],[fecha_inicio]]="","",TODAY()-tblOrdenes[[#This Row],[fecha_inicio]])</f>
        <v/>
      </c>
      <c r="AB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1">
        <f>IF(tblOrdenes[[#This Row],[orden]]="","",_xlfn.XLOOKUP(tblOrdenes[[#This Row],[id_operacion]],tblEjecucion[id_operacion],tblEjecucion[precio],0))</f>
        <v/>
      </c>
      <c r="AJ188" s="11">
        <f>IF(tblOrdenes[[#This Row],[orden]]="","",MAX(0,_xlfn.XLOOKUP(tblOrdenes[[#This Row],[id_operacion]],tblEjecucion[id_operacion],tblEjecucion[costo_plan_total],0)-tblOrdenes[[#This Row],[costo_servicio]]))</f>
        <v/>
      </c>
      <c r="AK188" s="11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46184</v>
      </c>
      <c r="K189" s="3" t="n">
        <v>2</v>
      </c>
      <c r="L189" s="11" t="n">
        <v>80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3">
        <f>IF(tblOrdenes[[#This Row],[fecha_inicio]]="","",TODAY()-tblOrdenes[[#This Row],[fecha_inicio]])</f>
        <v/>
      </c>
      <c r="AB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1">
        <f>IF(tblOrdenes[[#This Row],[orden]]="","",_xlfn.XLOOKUP(tblOrdenes[[#This Row],[id_operacion]],tblEjecucion[id_operacion],tblEjecucion[precio],0))</f>
        <v/>
      </c>
      <c r="AJ189" s="11">
        <f>IF(tblOrdenes[[#This Row],[orden]]="","",MAX(0,_xlfn.XLOOKUP(tblOrdenes[[#This Row],[id_operacion]],tblEjecucion[id_operacion],tblEjecucion[costo_plan_total],0)-tblOrdenes[[#This Row],[costo_servicio]]))</f>
        <v/>
      </c>
      <c r="AK189" s="11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46183</v>
      </c>
      <c r="K190" s="3" t="n">
        <v>2</v>
      </c>
      <c r="L190" s="11" t="n">
        <v>80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3">
        <f>IF(tblOrdenes[[#This Row],[fecha_inicio]]="","",TODAY()-tblOrdenes[[#This Row],[fecha_inicio]])</f>
        <v/>
      </c>
      <c r="AB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1">
        <f>IF(tblOrdenes[[#This Row],[orden]]="","",_xlfn.XLOOKUP(tblOrdenes[[#This Row],[id_operacion]],tblEjecucion[id_operacion],tblEjecucion[precio],0))</f>
        <v/>
      </c>
      <c r="AJ190" s="11">
        <f>IF(tblOrdenes[[#This Row],[orden]]="","",MAX(0,_xlfn.XLOOKUP(tblOrdenes[[#This Row],[id_operacion]],tblEjecucion[id_operacion],tblEjecucion[costo_plan_total],0)-tblOrdenes[[#This Row],[costo_servicio]]))</f>
        <v/>
      </c>
      <c r="AK190" s="11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46182</v>
      </c>
      <c r="K191" s="3" t="n">
        <v>2</v>
      </c>
      <c r="L191" s="11" t="n">
        <v>80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3">
        <f>IF(tblOrdenes[[#This Row],[fecha_inicio]]="","",TODAY()-tblOrdenes[[#This Row],[fecha_inicio]])</f>
        <v/>
      </c>
      <c r="AB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1">
        <f>IF(tblOrdenes[[#This Row],[orden]]="","",_xlfn.XLOOKUP(tblOrdenes[[#This Row],[id_operacion]],tblEjecucion[id_operacion],tblEjecucion[precio],0))</f>
        <v/>
      </c>
      <c r="AJ191" s="11">
        <f>IF(tblOrdenes[[#This Row],[orden]]="","",MAX(0,_xlfn.XLOOKUP(tblOrdenes[[#This Row],[id_operacion]],tblEjecucion[id_operacion],tblEjecucion[costo_plan_total],0)-tblOrdenes[[#This Row],[costo_servicio]]))</f>
        <v/>
      </c>
      <c r="AK191" s="11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46181</v>
      </c>
      <c r="K192" s="3" t="n">
        <v>2</v>
      </c>
      <c r="L192" s="11" t="n">
        <v>80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3">
        <f>IF(tblOrdenes[[#This Row],[fecha_inicio]]="","",TODAY()-tblOrdenes[[#This Row],[fecha_inicio]])</f>
        <v/>
      </c>
      <c r="AB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1">
        <f>IF(tblOrdenes[[#This Row],[orden]]="","",_xlfn.XLOOKUP(tblOrdenes[[#This Row],[id_operacion]],tblEjecucion[id_operacion],tblEjecucion[precio],0))</f>
        <v/>
      </c>
      <c r="AJ192" s="11">
        <f>IF(tblOrdenes[[#This Row],[orden]]="","",MAX(0,_xlfn.XLOOKUP(tblOrdenes[[#This Row],[id_operacion]],tblEjecucion[id_operacion],tblEjecucion[costo_plan_total],0)-tblOrdenes[[#This Row],[costo_servicio]]))</f>
        <v/>
      </c>
      <c r="AK192" s="11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46180</v>
      </c>
      <c r="K193" s="3" t="n">
        <v>2</v>
      </c>
      <c r="L193" s="11" t="n">
        <v>80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3">
        <f>IF(tblOrdenes[[#This Row],[fecha_inicio]]="","",TODAY()-tblOrdenes[[#This Row],[fecha_inicio]])</f>
        <v/>
      </c>
      <c r="AB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1">
        <f>IF(tblOrdenes[[#This Row],[orden]]="","",_xlfn.XLOOKUP(tblOrdenes[[#This Row],[id_operacion]],tblEjecucion[id_operacion],tblEjecucion[precio],0))</f>
        <v/>
      </c>
      <c r="AJ193" s="11">
        <f>IF(tblOrdenes[[#This Row],[orden]]="","",MAX(0,_xlfn.XLOOKUP(tblOrdenes[[#This Row],[id_operacion]],tblEjecucion[id_operacion],tblEjecucion[costo_plan_total],0)-tblOrdenes[[#This Row],[costo_servicio]]))</f>
        <v/>
      </c>
      <c r="AK193" s="11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46179</v>
      </c>
      <c r="K194" s="3" t="n">
        <v>2</v>
      </c>
      <c r="L194" s="11" t="n">
        <v>80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3">
        <f>IF(tblOrdenes[[#This Row],[fecha_inicio]]="","",TODAY()-tblOrdenes[[#This Row],[fecha_inicio]])</f>
        <v/>
      </c>
      <c r="AB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1">
        <f>IF(tblOrdenes[[#This Row],[orden]]="","",_xlfn.XLOOKUP(tblOrdenes[[#This Row],[id_operacion]],tblEjecucion[id_operacion],tblEjecucion[precio],0))</f>
        <v/>
      </c>
      <c r="AJ194" s="11">
        <f>IF(tblOrdenes[[#This Row],[orden]]="","",MAX(0,_xlfn.XLOOKUP(tblOrdenes[[#This Row],[id_operacion]],tblEjecucion[id_operacion],tblEjecucion[costo_plan_total],0)-tblOrdenes[[#This Row],[costo_servicio]]))</f>
        <v/>
      </c>
      <c r="AK194" s="11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46178</v>
      </c>
      <c r="K195" s="3" t="n">
        <v>2</v>
      </c>
      <c r="L195" s="11" t="n">
        <v>80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3">
        <f>IF(tblOrdenes[[#This Row],[fecha_inicio]]="","",TODAY()-tblOrdenes[[#This Row],[fecha_inicio]])</f>
        <v/>
      </c>
      <c r="AB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1">
        <f>IF(tblOrdenes[[#This Row],[orden]]="","",_xlfn.XLOOKUP(tblOrdenes[[#This Row],[id_operacion]],tblEjecucion[id_operacion],tblEjecucion[precio],0))</f>
        <v/>
      </c>
      <c r="AJ195" s="11">
        <f>IF(tblOrdenes[[#This Row],[orden]]="","",MAX(0,_xlfn.XLOOKUP(tblOrdenes[[#This Row],[id_operacion]],tblEjecucion[id_operacion],tblEjecucion[costo_plan_total],0)-tblOrdenes[[#This Row],[costo_servicio]]))</f>
        <v/>
      </c>
      <c r="AK195" s="11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46177</v>
      </c>
      <c r="K196" s="3" t="n">
        <v>2</v>
      </c>
      <c r="L196" s="11" t="n">
        <v>80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3">
        <f>IF(tblOrdenes[[#This Row],[fecha_inicio]]="","",TODAY()-tblOrdenes[[#This Row],[fecha_inicio]])</f>
        <v/>
      </c>
      <c r="AB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1">
        <f>IF(tblOrdenes[[#This Row],[orden]]="","",_xlfn.XLOOKUP(tblOrdenes[[#This Row],[id_operacion]],tblEjecucion[id_operacion],tblEjecucion[precio],0))</f>
        <v/>
      </c>
      <c r="AJ196" s="11">
        <f>IF(tblOrdenes[[#This Row],[orden]]="","",MAX(0,_xlfn.XLOOKUP(tblOrdenes[[#This Row],[id_operacion]],tblEjecucion[id_operacion],tblEjecucion[costo_plan_total],0)-tblOrdenes[[#This Row],[costo_servicio]]))</f>
        <v/>
      </c>
      <c r="AK196" s="11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46176</v>
      </c>
      <c r="K197" s="3" t="n">
        <v>2</v>
      </c>
      <c r="L197" s="11" t="n">
        <v>80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3">
        <f>IF(tblOrdenes[[#This Row],[fecha_inicio]]="","",TODAY()-tblOrdenes[[#This Row],[fecha_inicio]])</f>
        <v/>
      </c>
      <c r="AB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1">
        <f>IF(tblOrdenes[[#This Row],[orden]]="","",_xlfn.XLOOKUP(tblOrdenes[[#This Row],[id_operacion]],tblEjecucion[id_operacion],tblEjecucion[precio],0))</f>
        <v/>
      </c>
      <c r="AJ197" s="11">
        <f>IF(tblOrdenes[[#This Row],[orden]]="","",MAX(0,_xlfn.XLOOKUP(tblOrdenes[[#This Row],[id_operacion]],tblEjecucion[id_operacion],tblEjecucion[costo_plan_total],0)-tblOrdenes[[#This Row],[costo_servicio]]))</f>
        <v/>
      </c>
      <c r="AK197" s="11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46175</v>
      </c>
      <c r="K198" s="3" t="n">
        <v>2</v>
      </c>
      <c r="L198" s="11" t="n">
        <v>80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3">
        <f>IF(tblOrdenes[[#This Row],[fecha_inicio]]="","",TODAY()-tblOrdenes[[#This Row],[fecha_inicio]])</f>
        <v/>
      </c>
      <c r="AB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1">
        <f>IF(tblOrdenes[[#This Row],[orden]]="","",_xlfn.XLOOKUP(tblOrdenes[[#This Row],[id_operacion]],tblEjecucion[id_operacion],tblEjecucion[precio],0))</f>
        <v/>
      </c>
      <c r="AJ198" s="11">
        <f>IF(tblOrdenes[[#This Row],[orden]]="","",MAX(0,_xlfn.XLOOKUP(tblOrdenes[[#This Row],[id_operacion]],tblEjecucion[id_operacion],tblEjecucion[costo_plan_total],0)-tblOrdenes[[#This Row],[costo_servicio]]))</f>
        <v/>
      </c>
      <c r="AK198" s="11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46174</v>
      </c>
      <c r="K199" s="3" t="n">
        <v>2</v>
      </c>
      <c r="L199" s="11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3">
        <f>IF(tblOrdenes[[#This Row],[fecha_inicio]]="","",TODAY()-tblOrdenes[[#This Row],[fecha_inicio]])</f>
        <v/>
      </c>
      <c r="AB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1">
        <f>IF(tblOrdenes[[#This Row],[orden]]="","",_xlfn.XLOOKUP(tblOrdenes[[#This Row],[id_operacion]],tblEjecucion[id_operacion],tblEjecucion[precio],0))</f>
        <v/>
      </c>
      <c r="AJ199" s="11">
        <f>IF(tblOrdenes[[#This Row],[orden]]="","",MAX(0,_xlfn.XLOOKUP(tblOrdenes[[#This Row],[id_operacion]],tblEjecucion[id_operacion],tblEjecucion[costo_plan_total],0)-tblOrdenes[[#This Row],[costo_servicio]]))</f>
        <v/>
      </c>
      <c r="AK199" s="11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46173</v>
      </c>
      <c r="K200" s="3" t="n">
        <v>2</v>
      </c>
      <c r="L200" s="11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3">
        <f>IF(tblOrdenes[[#This Row],[fecha_inicio]]="","",TODAY()-tblOrdenes[[#This Row],[fecha_inicio]])</f>
        <v/>
      </c>
      <c r="AB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1">
        <f>IF(tblOrdenes[[#This Row],[orden]]="","",_xlfn.XLOOKUP(tblOrdenes[[#This Row],[id_operacion]],tblEjecucion[id_operacion],tblEjecucion[precio],0))</f>
        <v/>
      </c>
      <c r="AJ200" s="11">
        <f>IF(tblOrdenes[[#This Row],[orden]]="","",MAX(0,_xlfn.XLOOKUP(tblOrdenes[[#This Row],[id_operacion]],tblEjecucion[id_operacion],tblEjecucion[costo_plan_total],0)-tblOrdenes[[#This Row],[costo_servicio]]))</f>
        <v/>
      </c>
      <c r="AK200" s="11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46172</v>
      </c>
      <c r="K201" s="3" t="n">
        <v>2</v>
      </c>
      <c r="L201" s="11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3">
        <f>IF(tblOrdenes[[#This Row],[fecha_inicio]]="","",TODAY()-tblOrdenes[[#This Row],[fecha_inicio]])</f>
        <v/>
      </c>
      <c r="AB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1">
        <f>IF(tblOrdenes[[#This Row],[orden]]="","",_xlfn.XLOOKUP(tblOrdenes[[#This Row],[id_operacion]],tblEjecucion[id_operacion],tblEjecucion[precio],0))</f>
        <v/>
      </c>
      <c r="AJ201" s="11">
        <f>IF(tblOrdenes[[#This Row],[orden]]="","",MAX(0,_xlfn.XLOOKUP(tblOrdenes[[#This Row],[id_operacion]],tblEjecucion[id_operacion],tblEjecucion[costo_plan_total],0)-tblOrdenes[[#This Row],[costo_servicio]]))</f>
        <v/>
      </c>
      <c r="AK201" s="11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46171</v>
      </c>
      <c r="K202" s="3" t="n">
        <v>2</v>
      </c>
      <c r="L202" s="11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3">
        <f>IF(tblOrdenes[[#This Row],[fecha_inicio]]="","",TODAY()-tblOrdenes[[#This Row],[fecha_inicio]])</f>
        <v/>
      </c>
      <c r="AB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1">
        <f>IF(tblOrdenes[[#This Row],[orden]]="","",_xlfn.XLOOKUP(tblOrdenes[[#This Row],[id_operacion]],tblEjecucion[id_operacion],tblEjecucion[precio],0))</f>
        <v/>
      </c>
      <c r="AJ202" s="11">
        <f>IF(tblOrdenes[[#This Row],[orden]]="","",MAX(0,_xlfn.XLOOKUP(tblOrdenes[[#This Row],[id_operacion]],tblEjecucion[id_operacion],tblEjecucion[costo_plan_total],0)-tblOrdenes[[#This Row],[costo_servicio]]))</f>
        <v/>
      </c>
      <c r="AK202" s="11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46170</v>
      </c>
      <c r="K203" s="3" t="n">
        <v>2</v>
      </c>
      <c r="L203" s="11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3">
        <f>IF(tblOrdenes[[#This Row],[fecha_inicio]]="","",TODAY()-tblOrdenes[[#This Row],[fecha_inicio]])</f>
        <v/>
      </c>
      <c r="AB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1">
        <f>IF(tblOrdenes[[#This Row],[orden]]="","",_xlfn.XLOOKUP(tblOrdenes[[#This Row],[id_operacion]],tblEjecucion[id_operacion],tblEjecucion[precio],0))</f>
        <v/>
      </c>
      <c r="AJ203" s="11">
        <f>IF(tblOrdenes[[#This Row],[orden]]="","",MAX(0,_xlfn.XLOOKUP(tblOrdenes[[#This Row],[id_operacion]],tblEjecucion[id_operacion],tblEjecucion[costo_plan_total],0)-tblOrdenes[[#This Row],[costo_servicio]]))</f>
        <v/>
      </c>
      <c r="AK203" s="11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3">
        <f>IF(tblOrdenes[[#This Row],[fecha_inicio]]="","",TODAY()-tblOrdenes[[#This Row],[fecha_inicio]])</f>
        <v/>
      </c>
      <c r="AB2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1">
        <f>IF(tblOrdenes[[#This Row],[orden]]="","",_xlfn.XLOOKUP(tblOrdenes[[#This Row],[id_operacion]],tblEjecucion[id_operacion],tblEjecucion[precio],0))</f>
        <v/>
      </c>
      <c r="AJ204" s="11">
        <f>IF(tblOrdenes[[#This Row],[orden]]="","",MAX(0,_xlfn.XLOOKUP(tblOrdenes[[#This Row],[id_operacion]],tblEjecucion[id_operacion],tblEjecucion[costo_plan_total],0)-tblOrdenes[[#This Row],[costo_servicio]]))</f>
        <v/>
      </c>
      <c r="AK204" s="11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3">
        <f>IF(tblOrdenes[[#This Row],[fecha_inicio]]="","",TODAY()-tblOrdenes[[#This Row],[fecha_inicio]])</f>
        <v/>
      </c>
      <c r="AB2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1">
        <f>IF(tblOrdenes[[#This Row],[orden]]="","",_xlfn.XLOOKUP(tblOrdenes[[#This Row],[id_operacion]],tblEjecucion[id_operacion],tblEjecucion[precio],0))</f>
        <v/>
      </c>
      <c r="AJ205" s="11">
        <f>IF(tblOrdenes[[#This Row],[orden]]="","",MAX(0,_xlfn.XLOOKUP(tblOrdenes[[#This Row],[id_operacion]],tblEjecucion[id_operacion],tblEjecucion[costo_plan_total],0)-tblOrdenes[[#This Row],[costo_servicio]]))</f>
        <v/>
      </c>
      <c r="AK205" s="11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3">
        <f>IF(tblOrdenes[[#This Row],[fecha_inicio]]="","",TODAY()-tblOrdenes[[#This Row],[fecha_inicio]])</f>
        <v/>
      </c>
      <c r="AB2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1">
        <f>IF(tblOrdenes[[#This Row],[orden]]="","",_xlfn.XLOOKUP(tblOrdenes[[#This Row],[id_operacion]],tblEjecucion[id_operacion],tblEjecucion[precio],0))</f>
        <v/>
      </c>
      <c r="AJ206" s="11">
        <f>IF(tblOrdenes[[#This Row],[orden]]="","",MAX(0,_xlfn.XLOOKUP(tblOrdenes[[#This Row],[id_operacion]],tblEjecucion[id_operacion],tblEjecucion[costo_plan_total],0)-tblOrdenes[[#This Row],[costo_servicio]]))</f>
        <v/>
      </c>
      <c r="AK206" s="11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3">
        <f>IF(tblOrdenes[[#This Row],[fecha_inicio]]="","",TODAY()-tblOrdenes[[#This Row],[fecha_inicio]])</f>
        <v/>
      </c>
      <c r="AB2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1">
        <f>IF(tblOrdenes[[#This Row],[orden]]="","",_xlfn.XLOOKUP(tblOrdenes[[#This Row],[id_operacion]],tblEjecucion[id_operacion],tblEjecucion[precio],0))</f>
        <v/>
      </c>
      <c r="AJ207" s="11">
        <f>IF(tblOrdenes[[#This Row],[orden]]="","",MAX(0,_xlfn.XLOOKUP(tblOrdenes[[#This Row],[id_operacion]],tblEjecucion[id_operacion],tblEjecucion[costo_plan_total],0)-tblOrdenes[[#This Row],[costo_servicio]]))</f>
        <v/>
      </c>
      <c r="AK207" s="11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3">
        <f>IF(tblOrdenes[[#This Row],[fecha_inicio]]="","",TODAY()-tblOrdenes[[#This Row],[fecha_inicio]])</f>
        <v/>
      </c>
      <c r="AB2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1">
        <f>IF(tblOrdenes[[#This Row],[orden]]="","",_xlfn.XLOOKUP(tblOrdenes[[#This Row],[id_operacion]],tblEjecucion[id_operacion],tblEjecucion[precio],0))</f>
        <v/>
      </c>
      <c r="AJ208" s="11">
        <f>IF(tblOrdenes[[#This Row],[orden]]="","",MAX(0,_xlfn.XLOOKUP(tblOrdenes[[#This Row],[id_operacion]],tblEjecucion[id_operacion],tblEjecucion[costo_plan_total],0)-tblOrdenes[[#This Row],[costo_servicio]]))</f>
        <v/>
      </c>
      <c r="AK208" s="11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3">
        <f>IF(tblOrdenes[[#This Row],[fecha_inicio]]="","",TODAY()-tblOrdenes[[#This Row],[fecha_inicio]])</f>
        <v/>
      </c>
      <c r="AB2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1">
        <f>IF(tblOrdenes[[#This Row],[orden]]="","",_xlfn.XLOOKUP(tblOrdenes[[#This Row],[id_operacion]],tblEjecucion[id_operacion],tblEjecucion[precio],0))</f>
        <v/>
      </c>
      <c r="AJ209" s="11">
        <f>IF(tblOrdenes[[#This Row],[orden]]="","",MAX(0,_xlfn.XLOOKUP(tblOrdenes[[#This Row],[id_operacion]],tblEjecucion[id_operacion],tblEjecucion[costo_plan_total],0)-tblOrdenes[[#This Row],[costo_servicio]]))</f>
        <v/>
      </c>
      <c r="AK209" s="11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3">
        <f>IF(tblOrdenes[[#This Row],[fecha_inicio]]="","",TODAY()-tblOrdenes[[#This Row],[fecha_inicio]])</f>
        <v/>
      </c>
      <c r="AB2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1">
        <f>IF(tblOrdenes[[#This Row],[orden]]="","",_xlfn.XLOOKUP(tblOrdenes[[#This Row],[id_operacion]],tblEjecucion[id_operacion],tblEjecucion[precio],0))</f>
        <v/>
      </c>
      <c r="AJ210" s="11">
        <f>IF(tblOrdenes[[#This Row],[orden]]="","",MAX(0,_xlfn.XLOOKUP(tblOrdenes[[#This Row],[id_operacion]],tblEjecucion[id_operacion],tblEjecucion[costo_plan_total],0)-tblOrdenes[[#This Row],[costo_servicio]]))</f>
        <v/>
      </c>
      <c r="AK210" s="11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3">
        <f>IF(tblOrdenes[[#This Row],[fecha_inicio]]="","",TODAY()-tblOrdenes[[#This Row],[fecha_inicio]])</f>
        <v/>
      </c>
      <c r="AB2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1">
        <f>IF(tblOrdenes[[#This Row],[orden]]="","",_xlfn.XLOOKUP(tblOrdenes[[#This Row],[id_operacion]],tblEjecucion[id_operacion],tblEjecucion[precio],0))</f>
        <v/>
      </c>
      <c r="AJ211" s="11">
        <f>IF(tblOrdenes[[#This Row],[orden]]="","",MAX(0,_xlfn.XLOOKUP(tblOrdenes[[#This Row],[id_operacion]],tblEjecucion[id_operacion],tblEjecucion[costo_plan_total],0)-tblOrdenes[[#This Row],[costo_servicio]]))</f>
        <v/>
      </c>
      <c r="AK211" s="11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3">
        <f>IF(tblOrdenes[[#This Row],[fecha_inicio]]="","",TODAY()-tblOrdenes[[#This Row],[fecha_inicio]])</f>
        <v/>
      </c>
      <c r="AB2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1">
        <f>IF(tblOrdenes[[#This Row],[orden]]="","",_xlfn.XLOOKUP(tblOrdenes[[#This Row],[id_operacion]],tblEjecucion[id_operacion],tblEjecucion[precio],0))</f>
        <v/>
      </c>
      <c r="AJ212" s="11">
        <f>IF(tblOrdenes[[#This Row],[orden]]="","",MAX(0,_xlfn.XLOOKUP(tblOrdenes[[#This Row],[id_operacion]],tblEjecucion[id_operacion],tblEjecucion[costo_plan_total],0)-tblOrdenes[[#This Row],[costo_servicio]]))</f>
        <v/>
      </c>
      <c r="AK212" s="11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3">
        <f>IF(tblOrdenes[[#This Row],[fecha_inicio]]="","",TODAY()-tblOrdenes[[#This Row],[fecha_inicio]])</f>
        <v/>
      </c>
      <c r="AB2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1">
        <f>IF(tblOrdenes[[#This Row],[orden]]="","",_xlfn.XLOOKUP(tblOrdenes[[#This Row],[id_operacion]],tblEjecucion[id_operacion],tblEjecucion[precio],0))</f>
        <v/>
      </c>
      <c r="AJ213" s="11">
        <f>IF(tblOrdenes[[#This Row],[orden]]="","",MAX(0,_xlfn.XLOOKUP(tblOrdenes[[#This Row],[id_operacion]],tblEjecucion[id_operacion],tblEjecucion[costo_plan_total],0)-tblOrdenes[[#This Row],[costo_servicio]]))</f>
        <v/>
      </c>
      <c r="AK213" s="11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3">
        <f>IF(tblOrdenes[[#This Row],[fecha_inicio]]="","",TODAY()-tblOrdenes[[#This Row],[fecha_inicio]])</f>
        <v/>
      </c>
      <c r="AB2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1">
        <f>IF(tblOrdenes[[#This Row],[orden]]="","",_xlfn.XLOOKUP(tblOrdenes[[#This Row],[id_operacion]],tblEjecucion[id_operacion],tblEjecucion[precio],0))</f>
        <v/>
      </c>
      <c r="AJ214" s="11">
        <f>IF(tblOrdenes[[#This Row],[orden]]="","",MAX(0,_xlfn.XLOOKUP(tblOrdenes[[#This Row],[id_operacion]],tblEjecucion[id_operacion],tblEjecucion[costo_plan_total],0)-tblOrdenes[[#This Row],[costo_servicio]]))</f>
        <v/>
      </c>
      <c r="AK214" s="11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3">
        <f>IF(tblOrdenes[[#This Row],[fecha_inicio]]="","",TODAY()-tblOrdenes[[#This Row],[fecha_inicio]])</f>
        <v/>
      </c>
      <c r="AB2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1">
        <f>IF(tblOrdenes[[#This Row],[orden]]="","",_xlfn.XLOOKUP(tblOrdenes[[#This Row],[id_operacion]],tblEjecucion[id_operacion],tblEjecucion[precio],0))</f>
        <v/>
      </c>
      <c r="AJ215" s="11">
        <f>IF(tblOrdenes[[#This Row],[orden]]="","",MAX(0,_xlfn.XLOOKUP(tblOrdenes[[#This Row],[id_operacion]],tblEjecucion[id_operacion],tblEjecucion[costo_plan_total],0)-tblOrdenes[[#This Row],[costo_servicio]]))</f>
        <v/>
      </c>
      <c r="AK215" s="11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3">
        <f>IF(tblOrdenes[[#This Row],[fecha_inicio]]="","",TODAY()-tblOrdenes[[#This Row],[fecha_inicio]])</f>
        <v/>
      </c>
      <c r="AB2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1">
        <f>IF(tblOrdenes[[#This Row],[orden]]="","",_xlfn.XLOOKUP(tblOrdenes[[#This Row],[id_operacion]],tblEjecucion[id_operacion],tblEjecucion[precio],0))</f>
        <v/>
      </c>
      <c r="AJ216" s="11">
        <f>IF(tblOrdenes[[#This Row],[orden]]="","",MAX(0,_xlfn.XLOOKUP(tblOrdenes[[#This Row],[id_operacion]],tblEjecucion[id_operacion],tblEjecucion[costo_plan_total],0)-tblOrdenes[[#This Row],[costo_servicio]]))</f>
        <v/>
      </c>
      <c r="AK216" s="11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3">
        <f>IF(tblOrdenes[[#This Row],[fecha_inicio]]="","",TODAY()-tblOrdenes[[#This Row],[fecha_inicio]])</f>
        <v/>
      </c>
      <c r="AB2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1">
        <f>IF(tblOrdenes[[#This Row],[orden]]="","",_xlfn.XLOOKUP(tblOrdenes[[#This Row],[id_operacion]],tblEjecucion[id_operacion],tblEjecucion[precio],0))</f>
        <v/>
      </c>
      <c r="AJ217" s="11">
        <f>IF(tblOrdenes[[#This Row],[orden]]="","",MAX(0,_xlfn.XLOOKUP(tblOrdenes[[#This Row],[id_operacion]],tblEjecucion[id_operacion],tblEjecucion[costo_plan_total],0)-tblOrdenes[[#This Row],[costo_servicio]]))</f>
        <v/>
      </c>
      <c r="AK217" s="11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3">
        <f>IF(tblOrdenes[[#This Row],[fecha_inicio]]="","",TODAY()-tblOrdenes[[#This Row],[fecha_inicio]])</f>
        <v/>
      </c>
      <c r="AB2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1">
        <f>IF(tblOrdenes[[#This Row],[orden]]="","",_xlfn.XLOOKUP(tblOrdenes[[#This Row],[id_operacion]],tblEjecucion[id_operacion],tblEjecucion[precio],0))</f>
        <v/>
      </c>
      <c r="AJ218" s="11">
        <f>IF(tblOrdenes[[#This Row],[orden]]="","",MAX(0,_xlfn.XLOOKUP(tblOrdenes[[#This Row],[id_operacion]],tblEjecucion[id_operacion],tblEjecucion[costo_plan_total],0)-tblOrdenes[[#This Row],[costo_servicio]]))</f>
        <v/>
      </c>
      <c r="AK218" s="11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3">
        <f>IF(tblOrdenes[[#This Row],[fecha_inicio]]="","",TODAY()-tblOrdenes[[#This Row],[fecha_inicio]])</f>
        <v/>
      </c>
      <c r="AB2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1">
        <f>IF(tblOrdenes[[#This Row],[orden]]="","",_xlfn.XLOOKUP(tblOrdenes[[#This Row],[id_operacion]],tblEjecucion[id_operacion],tblEjecucion[precio],0))</f>
        <v/>
      </c>
      <c r="AJ219" s="11">
        <f>IF(tblOrdenes[[#This Row],[orden]]="","",MAX(0,_xlfn.XLOOKUP(tblOrdenes[[#This Row],[id_operacion]],tblEjecucion[id_operacion],tblEjecucion[costo_plan_total],0)-tblOrdenes[[#This Row],[costo_servicio]]))</f>
        <v/>
      </c>
      <c r="AK219" s="11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3">
        <f>IF(tblOrdenes[[#This Row],[fecha_inicio]]="","",TODAY()-tblOrdenes[[#This Row],[fecha_inicio]])</f>
        <v/>
      </c>
      <c r="AB2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1">
        <f>IF(tblOrdenes[[#This Row],[orden]]="","",_xlfn.XLOOKUP(tblOrdenes[[#This Row],[id_operacion]],tblEjecucion[id_operacion],tblEjecucion[precio],0))</f>
        <v/>
      </c>
      <c r="AJ220" s="11">
        <f>IF(tblOrdenes[[#This Row],[orden]]="","",MAX(0,_xlfn.XLOOKUP(tblOrdenes[[#This Row],[id_operacion]],tblEjecucion[id_operacion],tblEjecucion[costo_plan_total],0)-tblOrdenes[[#This Row],[costo_servicio]]))</f>
        <v/>
      </c>
      <c r="AK220" s="11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3">
        <f>IF(tblOrdenes[[#This Row],[fecha_inicio]]="","",TODAY()-tblOrdenes[[#This Row],[fecha_inicio]])</f>
        <v/>
      </c>
      <c r="AB2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1">
        <f>IF(tblOrdenes[[#This Row],[orden]]="","",_xlfn.XLOOKUP(tblOrdenes[[#This Row],[id_operacion]],tblEjecucion[id_operacion],tblEjecucion[precio],0))</f>
        <v/>
      </c>
      <c r="AJ221" s="11">
        <f>IF(tblOrdenes[[#This Row],[orden]]="","",MAX(0,_xlfn.XLOOKUP(tblOrdenes[[#This Row],[id_operacion]],tblEjecucion[id_operacion],tblEjecucion[costo_plan_total],0)-tblOrdenes[[#This Row],[costo_servicio]]))</f>
        <v/>
      </c>
      <c r="AK221" s="11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3">
        <f>IF(tblOrdenes[[#This Row],[fecha_inicio]]="","",TODAY()-tblOrdenes[[#This Row],[fecha_inicio]])</f>
        <v/>
      </c>
      <c r="AB2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1">
        <f>IF(tblOrdenes[[#This Row],[orden]]="","",_xlfn.XLOOKUP(tblOrdenes[[#This Row],[id_operacion]],tblEjecucion[id_operacion],tblEjecucion[precio],0))</f>
        <v/>
      </c>
      <c r="AJ222" s="11">
        <f>IF(tblOrdenes[[#This Row],[orden]]="","",MAX(0,_xlfn.XLOOKUP(tblOrdenes[[#This Row],[id_operacion]],tblEjecucion[id_operacion],tblEjecucion[costo_plan_total],0)-tblOrdenes[[#This Row],[costo_servicio]]))</f>
        <v/>
      </c>
      <c r="AK222" s="11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3">
        <f>IF(tblOrdenes[[#This Row],[fecha_inicio]]="","",TODAY()-tblOrdenes[[#This Row],[fecha_inicio]])</f>
        <v/>
      </c>
      <c r="AB2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1">
        <f>IF(tblOrdenes[[#This Row],[orden]]="","",_xlfn.XLOOKUP(tblOrdenes[[#This Row],[id_operacion]],tblEjecucion[id_operacion],tblEjecucion[precio],0))</f>
        <v/>
      </c>
      <c r="AJ223" s="11">
        <f>IF(tblOrdenes[[#This Row],[orden]]="","",MAX(0,_xlfn.XLOOKUP(tblOrdenes[[#This Row],[id_operacion]],tblEjecucion[id_operacion],tblEjecucion[costo_plan_total],0)-tblOrdenes[[#This Row],[costo_servicio]]))</f>
        <v/>
      </c>
      <c r="AK223" s="11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3">
        <f>IF(tblOrdenes[[#This Row],[fecha_inicio]]="","",TODAY()-tblOrdenes[[#This Row],[fecha_inicio]])</f>
        <v/>
      </c>
      <c r="AB2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1">
        <f>IF(tblOrdenes[[#This Row],[orden]]="","",_xlfn.XLOOKUP(tblOrdenes[[#This Row],[id_operacion]],tblEjecucion[id_operacion],tblEjecucion[precio],0))</f>
        <v/>
      </c>
      <c r="AJ224" s="11">
        <f>IF(tblOrdenes[[#This Row],[orden]]="","",MAX(0,_xlfn.XLOOKUP(tblOrdenes[[#This Row],[id_operacion]],tblEjecucion[id_operacion],tblEjecucion[costo_plan_total],0)-tblOrdenes[[#This Row],[costo_servicio]]))</f>
        <v/>
      </c>
      <c r="AK224" s="11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3">
        <f>IF(tblOrdenes[[#This Row],[fecha_inicio]]="","",TODAY()-tblOrdenes[[#This Row],[fecha_inicio]])</f>
        <v/>
      </c>
      <c r="AB2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1">
        <f>IF(tblOrdenes[[#This Row],[orden]]="","",_xlfn.XLOOKUP(tblOrdenes[[#This Row],[id_operacion]],tblEjecucion[id_operacion],tblEjecucion[precio],0))</f>
        <v/>
      </c>
      <c r="AJ225" s="11">
        <f>IF(tblOrdenes[[#This Row],[orden]]="","",MAX(0,_xlfn.XLOOKUP(tblOrdenes[[#This Row],[id_operacion]],tblEjecucion[id_operacion],tblEjecucion[costo_plan_total],0)-tblOrdenes[[#This Row],[costo_servicio]]))</f>
        <v/>
      </c>
      <c r="AK225" s="11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3">
        <f>IF(tblOrdenes[[#This Row],[fecha_inicio]]="","",TODAY()-tblOrdenes[[#This Row],[fecha_inicio]])</f>
        <v/>
      </c>
      <c r="AB2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1">
        <f>IF(tblOrdenes[[#This Row],[orden]]="","",_xlfn.XLOOKUP(tblOrdenes[[#This Row],[id_operacion]],tblEjecucion[id_operacion],tblEjecucion[precio],0))</f>
        <v/>
      </c>
      <c r="AJ226" s="11">
        <f>IF(tblOrdenes[[#This Row],[orden]]="","",MAX(0,_xlfn.XLOOKUP(tblOrdenes[[#This Row],[id_operacion]],tblEjecucion[id_operacion],tblEjecucion[costo_plan_total],0)-tblOrdenes[[#This Row],[costo_servicio]]))</f>
        <v/>
      </c>
      <c r="AK226" s="11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3">
        <f>IF(tblOrdenes[[#This Row],[fecha_inicio]]="","",TODAY()-tblOrdenes[[#This Row],[fecha_inicio]])</f>
        <v/>
      </c>
      <c r="AB2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1">
        <f>IF(tblOrdenes[[#This Row],[orden]]="","",_xlfn.XLOOKUP(tblOrdenes[[#This Row],[id_operacion]],tblEjecucion[id_operacion],tblEjecucion[precio],0))</f>
        <v/>
      </c>
      <c r="AJ227" s="11">
        <f>IF(tblOrdenes[[#This Row],[orden]]="","",MAX(0,_xlfn.XLOOKUP(tblOrdenes[[#This Row],[id_operacion]],tblEjecucion[id_operacion],tblEjecucion[costo_plan_total],0)-tblOrdenes[[#This Row],[costo_servicio]]))</f>
        <v/>
      </c>
      <c r="AK227" s="11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3">
        <f>IF(tblOrdenes[[#This Row],[fecha_inicio]]="","",TODAY()-tblOrdenes[[#This Row],[fecha_inicio]])</f>
        <v/>
      </c>
      <c r="AB2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1">
        <f>IF(tblOrdenes[[#This Row],[orden]]="","",_xlfn.XLOOKUP(tblOrdenes[[#This Row],[id_operacion]],tblEjecucion[id_operacion],tblEjecucion[precio],0))</f>
        <v/>
      </c>
      <c r="AJ228" s="11">
        <f>IF(tblOrdenes[[#This Row],[orden]]="","",MAX(0,_xlfn.XLOOKUP(tblOrdenes[[#This Row],[id_operacion]],tblEjecucion[id_operacion],tblEjecucion[costo_plan_total],0)-tblOrdenes[[#This Row],[costo_servicio]]))</f>
        <v/>
      </c>
      <c r="AK228" s="11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3">
        <f>IF(tblOrdenes[[#This Row],[fecha_inicio]]="","",TODAY()-tblOrdenes[[#This Row],[fecha_inicio]])</f>
        <v/>
      </c>
      <c r="AB2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1">
        <f>IF(tblOrdenes[[#This Row],[orden]]="","",_xlfn.XLOOKUP(tblOrdenes[[#This Row],[id_operacion]],tblEjecucion[id_operacion],tblEjecucion[precio],0))</f>
        <v/>
      </c>
      <c r="AJ229" s="11">
        <f>IF(tblOrdenes[[#This Row],[orden]]="","",MAX(0,_xlfn.XLOOKUP(tblOrdenes[[#This Row],[id_operacion]],tblEjecucion[id_operacion],tblEjecucion[costo_plan_total],0)-tblOrdenes[[#This Row],[costo_servicio]]))</f>
        <v/>
      </c>
      <c r="AK229" s="11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3">
        <f>IF(tblOrdenes[[#This Row],[fecha_inicio]]="","",TODAY()-tblOrdenes[[#This Row],[fecha_inicio]])</f>
        <v/>
      </c>
      <c r="AB2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1">
        <f>IF(tblOrdenes[[#This Row],[orden]]="","",_xlfn.XLOOKUP(tblOrdenes[[#This Row],[id_operacion]],tblEjecucion[id_operacion],tblEjecucion[precio],0))</f>
        <v/>
      </c>
      <c r="AJ230" s="11">
        <f>IF(tblOrdenes[[#This Row],[orden]]="","",MAX(0,_xlfn.XLOOKUP(tblOrdenes[[#This Row],[id_operacion]],tblEjecucion[id_operacion],tblEjecucion[costo_plan_total],0)-tblOrdenes[[#This Row],[costo_servicio]]))</f>
        <v/>
      </c>
      <c r="AK230" s="11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3">
        <f>IF(tblOrdenes[[#This Row],[fecha_inicio]]="","",TODAY()-tblOrdenes[[#This Row],[fecha_inicio]])</f>
        <v/>
      </c>
      <c r="AB2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1">
        <f>IF(tblOrdenes[[#This Row],[orden]]="","",_xlfn.XLOOKUP(tblOrdenes[[#This Row],[id_operacion]],tblEjecucion[id_operacion],tblEjecucion[precio],0))</f>
        <v/>
      </c>
      <c r="AJ231" s="11">
        <f>IF(tblOrdenes[[#This Row],[orden]]="","",MAX(0,_xlfn.XLOOKUP(tblOrdenes[[#This Row],[id_operacion]],tblEjecucion[id_operacion],tblEjecucion[costo_plan_total],0)-tblOrdenes[[#This Row],[costo_servicio]]))</f>
        <v/>
      </c>
      <c r="AK231" s="11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3">
        <f>IF(tblOrdenes[[#This Row],[fecha_inicio]]="","",TODAY()-tblOrdenes[[#This Row],[fecha_inicio]])</f>
        <v/>
      </c>
      <c r="AB2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1">
        <f>IF(tblOrdenes[[#This Row],[orden]]="","",_xlfn.XLOOKUP(tblOrdenes[[#This Row],[id_operacion]],tblEjecucion[id_operacion],tblEjecucion[precio],0))</f>
        <v/>
      </c>
      <c r="AJ232" s="11">
        <f>IF(tblOrdenes[[#This Row],[orden]]="","",MAX(0,_xlfn.XLOOKUP(tblOrdenes[[#This Row],[id_operacion]],tblEjecucion[id_operacion],tblEjecucion[costo_plan_total],0)-tblOrdenes[[#This Row],[costo_servicio]]))</f>
        <v/>
      </c>
      <c r="AK232" s="11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3">
        <f>IF(tblOrdenes[[#This Row],[fecha_inicio]]="","",TODAY()-tblOrdenes[[#This Row],[fecha_inicio]])</f>
        <v/>
      </c>
      <c r="AB2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1">
        <f>IF(tblOrdenes[[#This Row],[orden]]="","",_xlfn.XLOOKUP(tblOrdenes[[#This Row],[id_operacion]],tblEjecucion[id_operacion],tblEjecucion[precio],0))</f>
        <v/>
      </c>
      <c r="AJ233" s="11">
        <f>IF(tblOrdenes[[#This Row],[orden]]="","",MAX(0,_xlfn.XLOOKUP(tblOrdenes[[#This Row],[id_operacion]],tblEjecucion[id_operacion],tblEjecucion[costo_plan_total],0)-tblOrdenes[[#This Row],[costo_servicio]]))</f>
        <v/>
      </c>
      <c r="AK233" s="11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3">
        <f>IF(tblOrdenes[[#This Row],[fecha_inicio]]="","",TODAY()-tblOrdenes[[#This Row],[fecha_inicio]])</f>
        <v/>
      </c>
      <c r="AB2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1">
        <f>IF(tblOrdenes[[#This Row],[orden]]="","",_xlfn.XLOOKUP(tblOrdenes[[#This Row],[id_operacion]],tblEjecucion[id_operacion],tblEjecucion[precio],0))</f>
        <v/>
      </c>
      <c r="AJ234" s="11">
        <f>IF(tblOrdenes[[#This Row],[orden]]="","",MAX(0,_xlfn.XLOOKUP(tblOrdenes[[#This Row],[id_operacion]],tblEjecucion[id_operacion],tblEjecucion[costo_plan_total],0)-tblOrdenes[[#This Row],[costo_servicio]]))</f>
        <v/>
      </c>
      <c r="AK234" s="11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3">
        <f>IF(tblOrdenes[[#This Row],[fecha_inicio]]="","",TODAY()-tblOrdenes[[#This Row],[fecha_inicio]])</f>
        <v/>
      </c>
      <c r="AB2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1">
        <f>IF(tblOrdenes[[#This Row],[orden]]="","",_xlfn.XLOOKUP(tblOrdenes[[#This Row],[id_operacion]],tblEjecucion[id_operacion],tblEjecucion[precio],0))</f>
        <v/>
      </c>
      <c r="AJ235" s="11">
        <f>IF(tblOrdenes[[#This Row],[orden]]="","",MAX(0,_xlfn.XLOOKUP(tblOrdenes[[#This Row],[id_operacion]],tblEjecucion[id_operacion],tblEjecucion[costo_plan_total],0)-tblOrdenes[[#This Row],[costo_servicio]]))</f>
        <v/>
      </c>
      <c r="AK235" s="11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3">
        <f>IF(tblOrdenes[[#This Row],[fecha_inicio]]="","",TODAY()-tblOrdenes[[#This Row],[fecha_inicio]])</f>
        <v/>
      </c>
      <c r="AB2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1">
        <f>IF(tblOrdenes[[#This Row],[orden]]="","",_xlfn.XLOOKUP(tblOrdenes[[#This Row],[id_operacion]],tblEjecucion[id_operacion],tblEjecucion[precio],0))</f>
        <v/>
      </c>
      <c r="AJ236" s="11">
        <f>IF(tblOrdenes[[#This Row],[orden]]="","",MAX(0,_xlfn.XLOOKUP(tblOrdenes[[#This Row],[id_operacion]],tblEjecucion[id_operacion],tblEjecucion[costo_plan_total],0)-tblOrdenes[[#This Row],[costo_servicio]]))</f>
        <v/>
      </c>
      <c r="AK236" s="11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3">
        <f>IF(tblOrdenes[[#This Row],[fecha_inicio]]="","",TODAY()-tblOrdenes[[#This Row],[fecha_inicio]])</f>
        <v/>
      </c>
      <c r="AB2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1">
        <f>IF(tblOrdenes[[#This Row],[orden]]="","",_xlfn.XLOOKUP(tblOrdenes[[#This Row],[id_operacion]],tblEjecucion[id_operacion],tblEjecucion[precio],0))</f>
        <v/>
      </c>
      <c r="AJ237" s="11">
        <f>IF(tblOrdenes[[#This Row],[orden]]="","",MAX(0,_xlfn.XLOOKUP(tblOrdenes[[#This Row],[id_operacion]],tblEjecucion[id_operacion],tblEjecucion[costo_plan_total],0)-tblOrdenes[[#This Row],[costo_servicio]]))</f>
        <v/>
      </c>
      <c r="AK237" s="11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3">
        <f>IF(tblOrdenes[[#This Row],[fecha_inicio]]="","",TODAY()-tblOrdenes[[#This Row],[fecha_inicio]])</f>
        <v/>
      </c>
      <c r="AB2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1">
        <f>IF(tblOrdenes[[#This Row],[orden]]="","",_xlfn.XLOOKUP(tblOrdenes[[#This Row],[id_operacion]],tblEjecucion[id_operacion],tblEjecucion[precio],0))</f>
        <v/>
      </c>
      <c r="AJ238" s="11">
        <f>IF(tblOrdenes[[#This Row],[orden]]="","",MAX(0,_xlfn.XLOOKUP(tblOrdenes[[#This Row],[id_operacion]],tblEjecucion[id_operacion],tblEjecucion[costo_plan_total],0)-tblOrdenes[[#This Row],[costo_servicio]]))</f>
        <v/>
      </c>
      <c r="AK238" s="11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3">
        <f>IF(tblOrdenes[[#This Row],[fecha_inicio]]="","",TODAY()-tblOrdenes[[#This Row],[fecha_inicio]])</f>
        <v/>
      </c>
      <c r="AB2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1">
        <f>IF(tblOrdenes[[#This Row],[orden]]="","",_xlfn.XLOOKUP(tblOrdenes[[#This Row],[id_operacion]],tblEjecucion[id_operacion],tblEjecucion[precio],0))</f>
        <v/>
      </c>
      <c r="AJ239" s="11">
        <f>IF(tblOrdenes[[#This Row],[orden]]="","",MAX(0,_xlfn.XLOOKUP(tblOrdenes[[#This Row],[id_operacion]],tblEjecucion[id_operacion],tblEjecucion[costo_plan_total],0)-tblOrdenes[[#This Row],[costo_servicio]]))</f>
        <v/>
      </c>
      <c r="AK239" s="11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3">
        <f>IF(tblOrdenes[[#This Row],[fecha_inicio]]="","",TODAY()-tblOrdenes[[#This Row],[fecha_inicio]])</f>
        <v/>
      </c>
      <c r="AB2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1">
        <f>IF(tblOrdenes[[#This Row],[orden]]="","",_xlfn.XLOOKUP(tblOrdenes[[#This Row],[id_operacion]],tblEjecucion[id_operacion],tblEjecucion[precio],0))</f>
        <v/>
      </c>
      <c r="AJ240" s="11">
        <f>IF(tblOrdenes[[#This Row],[orden]]="","",MAX(0,_xlfn.XLOOKUP(tblOrdenes[[#This Row],[id_operacion]],tblEjecucion[id_operacion],tblEjecucion[costo_plan_total],0)-tblOrdenes[[#This Row],[costo_servicio]]))</f>
        <v/>
      </c>
      <c r="AK240" s="11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3">
        <f>IF(tblOrdenes[[#This Row],[fecha_inicio]]="","",TODAY()-tblOrdenes[[#This Row],[fecha_inicio]])</f>
        <v/>
      </c>
      <c r="AB2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1">
        <f>IF(tblOrdenes[[#This Row],[orden]]="","",_xlfn.XLOOKUP(tblOrdenes[[#This Row],[id_operacion]],tblEjecucion[id_operacion],tblEjecucion[precio],0))</f>
        <v/>
      </c>
      <c r="AJ241" s="11">
        <f>IF(tblOrdenes[[#This Row],[orden]]="","",MAX(0,_xlfn.XLOOKUP(tblOrdenes[[#This Row],[id_operacion]],tblEjecucion[id_operacion],tblEjecucion[costo_plan_total],0)-tblOrdenes[[#This Row],[costo_servicio]]))</f>
        <v/>
      </c>
      <c r="AK241" s="11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3">
        <f>IF(tblOrdenes[[#This Row],[fecha_inicio]]="","",TODAY()-tblOrdenes[[#This Row],[fecha_inicio]])</f>
        <v/>
      </c>
      <c r="AB2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1">
        <f>IF(tblOrdenes[[#This Row],[orden]]="","",_xlfn.XLOOKUP(tblOrdenes[[#This Row],[id_operacion]],tblEjecucion[id_operacion],tblEjecucion[precio],0))</f>
        <v/>
      </c>
      <c r="AJ242" s="11">
        <f>IF(tblOrdenes[[#This Row],[orden]]="","",MAX(0,_xlfn.XLOOKUP(tblOrdenes[[#This Row],[id_operacion]],tblEjecucion[id_operacion],tblEjecucion[costo_plan_total],0)-tblOrdenes[[#This Row],[costo_servicio]]))</f>
        <v/>
      </c>
      <c r="AK242" s="11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3">
        <f>IF(tblOrdenes[[#This Row],[fecha_inicio]]="","",TODAY()-tblOrdenes[[#This Row],[fecha_inicio]])</f>
        <v/>
      </c>
      <c r="AB2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1">
        <f>IF(tblOrdenes[[#This Row],[orden]]="","",_xlfn.XLOOKUP(tblOrdenes[[#This Row],[id_operacion]],tblEjecucion[id_operacion],tblEjecucion[precio],0))</f>
        <v/>
      </c>
      <c r="AJ243" s="11">
        <f>IF(tblOrdenes[[#This Row],[orden]]="","",MAX(0,_xlfn.XLOOKUP(tblOrdenes[[#This Row],[id_operacion]],tblEjecucion[id_operacion],tblEjecucion[costo_plan_total],0)-tblOrdenes[[#This Row],[costo_servicio]]))</f>
        <v/>
      </c>
      <c r="AK243" s="11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3">
        <f>IF(tblOrdenes[[#This Row],[fecha_inicio]]="","",TODAY()-tblOrdenes[[#This Row],[fecha_inicio]])</f>
        <v/>
      </c>
      <c r="AB2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1">
        <f>IF(tblOrdenes[[#This Row],[orden]]="","",_xlfn.XLOOKUP(tblOrdenes[[#This Row],[id_operacion]],tblEjecucion[id_operacion],tblEjecucion[precio],0))</f>
        <v/>
      </c>
      <c r="AJ244" s="11">
        <f>IF(tblOrdenes[[#This Row],[orden]]="","",MAX(0,_xlfn.XLOOKUP(tblOrdenes[[#This Row],[id_operacion]],tblEjecucion[id_operacion],tblEjecucion[costo_plan_total],0)-tblOrdenes[[#This Row],[costo_servicio]]))</f>
        <v/>
      </c>
      <c r="AK244" s="11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3">
        <f>IF(tblOrdenes[[#This Row],[fecha_inicio]]="","",TODAY()-tblOrdenes[[#This Row],[fecha_inicio]])</f>
        <v/>
      </c>
      <c r="AB2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1">
        <f>IF(tblOrdenes[[#This Row],[orden]]="","",_xlfn.XLOOKUP(tblOrdenes[[#This Row],[id_operacion]],tblEjecucion[id_operacion],tblEjecucion[precio],0))</f>
        <v/>
      </c>
      <c r="AJ245" s="11">
        <f>IF(tblOrdenes[[#This Row],[orden]]="","",MAX(0,_xlfn.XLOOKUP(tblOrdenes[[#This Row],[id_operacion]],tblEjecucion[id_operacion],tblEjecucion[costo_plan_total],0)-tblOrdenes[[#This Row],[costo_servicio]]))</f>
        <v/>
      </c>
      <c r="AK245" s="11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3">
        <f>IF(tblOrdenes[[#This Row],[fecha_inicio]]="","",TODAY()-tblOrdenes[[#This Row],[fecha_inicio]])</f>
        <v/>
      </c>
      <c r="AB2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1">
        <f>IF(tblOrdenes[[#This Row],[orden]]="","",_xlfn.XLOOKUP(tblOrdenes[[#This Row],[id_operacion]],tblEjecucion[id_operacion],tblEjecucion[precio],0))</f>
        <v/>
      </c>
      <c r="AJ246" s="11">
        <f>IF(tblOrdenes[[#This Row],[orden]]="","",MAX(0,_xlfn.XLOOKUP(tblOrdenes[[#This Row],[id_operacion]],tblEjecucion[id_operacion],tblEjecucion[costo_plan_total],0)-tblOrdenes[[#This Row],[costo_servicio]]))</f>
        <v/>
      </c>
      <c r="AK246" s="11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3">
        <f>IF(tblOrdenes[[#This Row],[fecha_inicio]]="","",TODAY()-tblOrdenes[[#This Row],[fecha_inicio]])</f>
        <v/>
      </c>
      <c r="AB2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1">
        <f>IF(tblOrdenes[[#This Row],[orden]]="","",_xlfn.XLOOKUP(tblOrdenes[[#This Row],[id_operacion]],tblEjecucion[id_operacion],tblEjecucion[precio],0))</f>
        <v/>
      </c>
      <c r="AJ247" s="11">
        <f>IF(tblOrdenes[[#This Row],[orden]]="","",MAX(0,_xlfn.XLOOKUP(tblOrdenes[[#This Row],[id_operacion]],tblEjecucion[id_operacion],tblEjecucion[costo_plan_total],0)-tblOrdenes[[#This Row],[costo_servicio]]))</f>
        <v/>
      </c>
      <c r="AK247" s="11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3">
        <f>IF(tblOrdenes[[#This Row],[fecha_inicio]]="","",TODAY()-tblOrdenes[[#This Row],[fecha_inicio]])</f>
        <v/>
      </c>
      <c r="AB2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1">
        <f>IF(tblOrdenes[[#This Row],[orden]]="","",_xlfn.XLOOKUP(tblOrdenes[[#This Row],[id_operacion]],tblEjecucion[id_operacion],tblEjecucion[precio],0))</f>
        <v/>
      </c>
      <c r="AJ248" s="11">
        <f>IF(tblOrdenes[[#This Row],[orden]]="","",MAX(0,_xlfn.XLOOKUP(tblOrdenes[[#This Row],[id_operacion]],tblEjecucion[id_operacion],tblEjecucion[costo_plan_total],0)-tblOrdenes[[#This Row],[costo_servicio]]))</f>
        <v/>
      </c>
      <c r="AK248" s="11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3">
        <f>IF(tblOrdenes[[#This Row],[fecha_inicio]]="","",TODAY()-tblOrdenes[[#This Row],[fecha_inicio]])</f>
        <v/>
      </c>
      <c r="AB2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1">
        <f>IF(tblOrdenes[[#This Row],[orden]]="","",_xlfn.XLOOKUP(tblOrdenes[[#This Row],[id_operacion]],tblEjecucion[id_operacion],tblEjecucion[precio],0))</f>
        <v/>
      </c>
      <c r="AJ249" s="11">
        <f>IF(tblOrdenes[[#This Row],[orden]]="","",MAX(0,_xlfn.XLOOKUP(tblOrdenes[[#This Row],[id_operacion]],tblEjecucion[id_operacion],tblEjecucion[costo_plan_total],0)-tblOrdenes[[#This Row],[costo_servicio]]))</f>
        <v/>
      </c>
      <c r="AK249" s="11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3">
        <f>IF(tblOrdenes[[#This Row],[fecha_inicio]]="","",TODAY()-tblOrdenes[[#This Row],[fecha_inicio]])</f>
        <v/>
      </c>
      <c r="AB2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1">
        <f>IF(tblOrdenes[[#This Row],[orden]]="","",_xlfn.XLOOKUP(tblOrdenes[[#This Row],[id_operacion]],tblEjecucion[id_operacion],tblEjecucion[precio],0))</f>
        <v/>
      </c>
      <c r="AJ250" s="11">
        <f>IF(tblOrdenes[[#This Row],[orden]]="","",MAX(0,_xlfn.XLOOKUP(tblOrdenes[[#This Row],[id_operacion]],tblEjecucion[id_operacion],tblEjecucion[costo_plan_total],0)-tblOrdenes[[#This Row],[costo_servicio]]))</f>
        <v/>
      </c>
      <c r="AK250" s="11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3">
        <f>IF(tblOrdenes[[#This Row],[fecha_inicio]]="","",TODAY()-tblOrdenes[[#This Row],[fecha_inicio]])</f>
        <v/>
      </c>
      <c r="AB2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1">
        <f>IF(tblOrdenes[[#This Row],[orden]]="","",_xlfn.XLOOKUP(tblOrdenes[[#This Row],[id_operacion]],tblEjecucion[id_operacion],tblEjecucion[precio],0))</f>
        <v/>
      </c>
      <c r="AJ251" s="11">
        <f>IF(tblOrdenes[[#This Row],[orden]]="","",MAX(0,_xlfn.XLOOKUP(tblOrdenes[[#This Row],[id_operacion]],tblEjecucion[id_operacion],tblEjecucion[costo_plan_total],0)-tblOrdenes[[#This Row],[costo_servicio]]))</f>
        <v/>
      </c>
      <c r="AK251" s="11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3">
        <f>IF(tblOrdenes[[#This Row],[fecha_inicio]]="","",TODAY()-tblOrdenes[[#This Row],[fecha_inicio]])</f>
        <v/>
      </c>
      <c r="AB2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1">
        <f>IF(tblOrdenes[[#This Row],[orden]]="","",_xlfn.XLOOKUP(tblOrdenes[[#This Row],[id_operacion]],tblEjecucion[id_operacion],tblEjecucion[precio],0))</f>
        <v/>
      </c>
      <c r="AJ252" s="11">
        <f>IF(tblOrdenes[[#This Row],[orden]]="","",MAX(0,_xlfn.XLOOKUP(tblOrdenes[[#This Row],[id_operacion]],tblEjecucion[id_operacion],tblEjecucion[costo_plan_total],0)-tblOrdenes[[#This Row],[costo_servicio]]))</f>
        <v/>
      </c>
      <c r="AK252" s="11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3">
        <f>IF(tblOrdenes[[#This Row],[fecha_inicio]]="","",TODAY()-tblOrdenes[[#This Row],[fecha_inicio]])</f>
        <v/>
      </c>
      <c r="AB2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1">
        <f>IF(tblOrdenes[[#This Row],[orden]]="","",_xlfn.XLOOKUP(tblOrdenes[[#This Row],[id_operacion]],tblEjecucion[id_operacion],tblEjecucion[precio],0))</f>
        <v/>
      </c>
      <c r="AJ253" s="11">
        <f>IF(tblOrdenes[[#This Row],[orden]]="","",MAX(0,_xlfn.XLOOKUP(tblOrdenes[[#This Row],[id_operacion]],tblEjecucion[id_operacion],tblEjecucion[costo_plan_total],0)-tblOrdenes[[#This Row],[costo_servicio]]))</f>
        <v/>
      </c>
      <c r="AK253" s="11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3">
        <f>IF(tblOrdenes[[#This Row],[fecha_inicio]]="","",TODAY()-tblOrdenes[[#This Row],[fecha_inicio]])</f>
        <v/>
      </c>
      <c r="AB2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1">
        <f>IF(tblOrdenes[[#This Row],[orden]]="","",_xlfn.XLOOKUP(tblOrdenes[[#This Row],[id_operacion]],tblEjecucion[id_operacion],tblEjecucion[precio],0))</f>
        <v/>
      </c>
      <c r="AJ254" s="11">
        <f>IF(tblOrdenes[[#This Row],[orden]]="","",MAX(0,_xlfn.XLOOKUP(tblOrdenes[[#This Row],[id_operacion]],tblEjecucion[id_operacion],tblEjecucion[costo_plan_total],0)-tblOrdenes[[#This Row],[costo_servicio]]))</f>
        <v/>
      </c>
      <c r="AK254" s="11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3">
        <f>IF(tblOrdenes[[#This Row],[fecha_inicio]]="","",TODAY()-tblOrdenes[[#This Row],[fecha_inicio]])</f>
        <v/>
      </c>
      <c r="AB2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1">
        <f>IF(tblOrdenes[[#This Row],[orden]]="","",_xlfn.XLOOKUP(tblOrdenes[[#This Row],[id_operacion]],tblEjecucion[id_operacion],tblEjecucion[precio],0))</f>
        <v/>
      </c>
      <c r="AJ255" s="11">
        <f>IF(tblOrdenes[[#This Row],[orden]]="","",MAX(0,_xlfn.XLOOKUP(tblOrdenes[[#This Row],[id_operacion]],tblEjecucion[id_operacion],tblEjecucion[costo_plan_total],0)-tblOrdenes[[#This Row],[costo_servicio]]))</f>
        <v/>
      </c>
      <c r="AK255" s="11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3">
        <f>IF(tblOrdenes[[#This Row],[fecha_inicio]]="","",TODAY()-tblOrdenes[[#This Row],[fecha_inicio]])</f>
        <v/>
      </c>
      <c r="AB2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1">
        <f>IF(tblOrdenes[[#This Row],[orden]]="","",_xlfn.XLOOKUP(tblOrdenes[[#This Row],[id_operacion]],tblEjecucion[id_operacion],tblEjecucion[precio],0))</f>
        <v/>
      </c>
      <c r="AJ256" s="11">
        <f>IF(tblOrdenes[[#This Row],[orden]]="","",MAX(0,_xlfn.XLOOKUP(tblOrdenes[[#This Row],[id_operacion]],tblEjecucion[id_operacion],tblEjecucion[costo_plan_total],0)-tblOrdenes[[#This Row],[costo_servicio]]))</f>
        <v/>
      </c>
      <c r="AK256" s="11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3">
        <f>IF(tblOrdenes[[#This Row],[fecha_inicio]]="","",TODAY()-tblOrdenes[[#This Row],[fecha_inicio]])</f>
        <v/>
      </c>
      <c r="AB2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1">
        <f>IF(tblOrdenes[[#This Row],[orden]]="","",_xlfn.XLOOKUP(tblOrdenes[[#This Row],[id_operacion]],tblEjecucion[id_operacion],tblEjecucion[precio],0))</f>
        <v/>
      </c>
      <c r="AJ257" s="11">
        <f>IF(tblOrdenes[[#This Row],[orden]]="","",MAX(0,_xlfn.XLOOKUP(tblOrdenes[[#This Row],[id_operacion]],tblEjecucion[id_operacion],tblEjecucion[costo_plan_total],0)-tblOrdenes[[#This Row],[costo_servicio]]))</f>
        <v/>
      </c>
      <c r="AK257" s="11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3">
        <f>IF(tblOrdenes[[#This Row],[fecha_inicio]]="","",TODAY()-tblOrdenes[[#This Row],[fecha_inicio]])</f>
        <v/>
      </c>
      <c r="AB2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1">
        <f>IF(tblOrdenes[[#This Row],[orden]]="","",_xlfn.XLOOKUP(tblOrdenes[[#This Row],[id_operacion]],tblEjecucion[id_operacion],tblEjecucion[precio],0))</f>
        <v/>
      </c>
      <c r="AJ258" s="11">
        <f>IF(tblOrdenes[[#This Row],[orden]]="","",MAX(0,_xlfn.XLOOKUP(tblOrdenes[[#This Row],[id_operacion]],tblEjecucion[id_operacion],tblEjecucion[costo_plan_total],0)-tblOrdenes[[#This Row],[costo_servicio]]))</f>
        <v/>
      </c>
      <c r="AK258" s="11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3">
        <f>IF(tblOrdenes[[#This Row],[fecha_inicio]]="","",TODAY()-tblOrdenes[[#This Row],[fecha_inicio]])</f>
        <v/>
      </c>
      <c r="AB2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1">
        <f>IF(tblOrdenes[[#This Row],[orden]]="","",_xlfn.XLOOKUP(tblOrdenes[[#This Row],[id_operacion]],tblEjecucion[id_operacion],tblEjecucion[precio],0))</f>
        <v/>
      </c>
      <c r="AJ259" s="11">
        <f>IF(tblOrdenes[[#This Row],[orden]]="","",MAX(0,_xlfn.XLOOKUP(tblOrdenes[[#This Row],[id_operacion]],tblEjecucion[id_operacion],tblEjecucion[costo_plan_total],0)-tblOrdenes[[#This Row],[costo_servicio]]))</f>
        <v/>
      </c>
      <c r="AK259" s="11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3">
        <f>IF(tblOrdenes[[#This Row],[fecha_inicio]]="","",TODAY()-tblOrdenes[[#This Row],[fecha_inicio]])</f>
        <v/>
      </c>
      <c r="AB2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1">
        <f>IF(tblOrdenes[[#This Row],[orden]]="","",_xlfn.XLOOKUP(tblOrdenes[[#This Row],[id_operacion]],tblEjecucion[id_operacion],tblEjecucion[precio],0))</f>
        <v/>
      </c>
      <c r="AJ260" s="11">
        <f>IF(tblOrdenes[[#This Row],[orden]]="","",MAX(0,_xlfn.XLOOKUP(tblOrdenes[[#This Row],[id_operacion]],tblEjecucion[id_operacion],tblEjecucion[costo_plan_total],0)-tblOrdenes[[#This Row],[costo_servicio]]))</f>
        <v/>
      </c>
      <c r="AK260" s="11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3">
        <f>IF(tblOrdenes[[#This Row],[fecha_inicio]]="","",TODAY()-tblOrdenes[[#This Row],[fecha_inicio]])</f>
        <v/>
      </c>
      <c r="AB2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1">
        <f>IF(tblOrdenes[[#This Row],[orden]]="","",_xlfn.XLOOKUP(tblOrdenes[[#This Row],[id_operacion]],tblEjecucion[id_operacion],tblEjecucion[precio],0))</f>
        <v/>
      </c>
      <c r="AJ261" s="11">
        <f>IF(tblOrdenes[[#This Row],[orden]]="","",MAX(0,_xlfn.XLOOKUP(tblOrdenes[[#This Row],[id_operacion]],tblEjecucion[id_operacion],tblEjecucion[costo_plan_total],0)-tblOrdenes[[#This Row],[costo_servicio]]))</f>
        <v/>
      </c>
      <c r="AK261" s="11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3">
        <f>IF(tblOrdenes[[#This Row],[fecha_inicio]]="","",TODAY()-tblOrdenes[[#This Row],[fecha_inicio]])</f>
        <v/>
      </c>
      <c r="AB2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1">
        <f>IF(tblOrdenes[[#This Row],[orden]]="","",_xlfn.XLOOKUP(tblOrdenes[[#This Row],[id_operacion]],tblEjecucion[id_operacion],tblEjecucion[precio],0))</f>
        <v/>
      </c>
      <c r="AJ262" s="11">
        <f>IF(tblOrdenes[[#This Row],[orden]]="","",MAX(0,_xlfn.XLOOKUP(tblOrdenes[[#This Row],[id_operacion]],tblEjecucion[id_operacion],tblEjecucion[costo_plan_total],0)-tblOrdenes[[#This Row],[costo_servicio]]))</f>
        <v/>
      </c>
      <c r="AK262" s="11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3">
        <f>IF(tblOrdenes[[#This Row],[fecha_inicio]]="","",TODAY()-tblOrdenes[[#This Row],[fecha_inicio]])</f>
        <v/>
      </c>
      <c r="AB2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1">
        <f>IF(tblOrdenes[[#This Row],[orden]]="","",_xlfn.XLOOKUP(tblOrdenes[[#This Row],[id_operacion]],tblEjecucion[id_operacion],tblEjecucion[precio],0))</f>
        <v/>
      </c>
      <c r="AJ263" s="11">
        <f>IF(tblOrdenes[[#This Row],[orden]]="","",MAX(0,_xlfn.XLOOKUP(tblOrdenes[[#This Row],[id_operacion]],tblEjecucion[id_operacion],tblEjecucion[costo_plan_total],0)-tblOrdenes[[#This Row],[costo_servicio]]))</f>
        <v/>
      </c>
      <c r="AK263" s="11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3">
        <f>IF(tblOrdenes[[#This Row],[fecha_inicio]]="","",TODAY()-tblOrdenes[[#This Row],[fecha_inicio]])</f>
        <v/>
      </c>
      <c r="AB2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1">
        <f>IF(tblOrdenes[[#This Row],[orden]]="","",_xlfn.XLOOKUP(tblOrdenes[[#This Row],[id_operacion]],tblEjecucion[id_operacion],tblEjecucion[precio],0))</f>
        <v/>
      </c>
      <c r="AJ264" s="11">
        <f>IF(tblOrdenes[[#This Row],[orden]]="","",MAX(0,_xlfn.XLOOKUP(tblOrdenes[[#This Row],[id_operacion]],tblEjecucion[id_operacion],tblEjecucion[costo_plan_total],0)-tblOrdenes[[#This Row],[costo_servicio]]))</f>
        <v/>
      </c>
      <c r="AK264" s="11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3">
        <f>IF(tblOrdenes[[#This Row],[fecha_inicio]]="","",TODAY()-tblOrdenes[[#This Row],[fecha_inicio]])</f>
        <v/>
      </c>
      <c r="AB2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1">
        <f>IF(tblOrdenes[[#This Row],[orden]]="","",_xlfn.XLOOKUP(tblOrdenes[[#This Row],[id_operacion]],tblEjecucion[id_operacion],tblEjecucion[precio],0))</f>
        <v/>
      </c>
      <c r="AJ265" s="11">
        <f>IF(tblOrdenes[[#This Row],[orden]]="","",MAX(0,_xlfn.XLOOKUP(tblOrdenes[[#This Row],[id_operacion]],tblEjecucion[id_operacion],tblEjecucion[costo_plan_total],0)-tblOrdenes[[#This Row],[costo_servicio]]))</f>
        <v/>
      </c>
      <c r="AK265" s="11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3">
        <f>IF(tblOrdenes[[#This Row],[fecha_inicio]]="","",TODAY()-tblOrdenes[[#This Row],[fecha_inicio]])</f>
        <v/>
      </c>
      <c r="AB2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1">
        <f>IF(tblOrdenes[[#This Row],[orden]]="","",_xlfn.XLOOKUP(tblOrdenes[[#This Row],[id_operacion]],tblEjecucion[id_operacion],tblEjecucion[precio],0))</f>
        <v/>
      </c>
      <c r="AJ266" s="11">
        <f>IF(tblOrdenes[[#This Row],[orden]]="","",MAX(0,_xlfn.XLOOKUP(tblOrdenes[[#This Row],[id_operacion]],tblEjecucion[id_operacion],tblEjecucion[costo_plan_total],0)-tblOrdenes[[#This Row],[costo_servicio]]))</f>
        <v/>
      </c>
      <c r="AK266" s="11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3">
        <f>IF(tblOrdenes[[#This Row],[fecha_inicio]]="","",TODAY()-tblOrdenes[[#This Row],[fecha_inicio]])</f>
        <v/>
      </c>
      <c r="AB2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1">
        <f>IF(tblOrdenes[[#This Row],[orden]]="","",_xlfn.XLOOKUP(tblOrdenes[[#This Row],[id_operacion]],tblEjecucion[id_operacion],tblEjecucion[precio],0))</f>
        <v/>
      </c>
      <c r="AJ267" s="11">
        <f>IF(tblOrdenes[[#This Row],[orden]]="","",MAX(0,_xlfn.XLOOKUP(tblOrdenes[[#This Row],[id_operacion]],tblEjecucion[id_operacion],tblEjecucion[costo_plan_total],0)-tblOrdenes[[#This Row],[costo_servicio]]))</f>
        <v/>
      </c>
      <c r="AK267" s="11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3">
        <f>IF(tblOrdenes[[#This Row],[fecha_inicio]]="","",TODAY()-tblOrdenes[[#This Row],[fecha_inicio]])</f>
        <v/>
      </c>
      <c r="AB2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1">
        <f>IF(tblOrdenes[[#This Row],[orden]]="","",_xlfn.XLOOKUP(tblOrdenes[[#This Row],[id_operacion]],tblEjecucion[id_operacion],tblEjecucion[precio],0))</f>
        <v/>
      </c>
      <c r="AJ268" s="11">
        <f>IF(tblOrdenes[[#This Row],[orden]]="","",MAX(0,_xlfn.XLOOKUP(tblOrdenes[[#This Row],[id_operacion]],tblEjecucion[id_operacion],tblEjecucion[costo_plan_total],0)-tblOrdenes[[#This Row],[costo_servicio]]))</f>
        <v/>
      </c>
      <c r="AK268" s="11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3">
        <f>IF(tblOrdenes[[#This Row],[fecha_inicio]]="","",TODAY()-tblOrdenes[[#This Row],[fecha_inicio]])</f>
        <v/>
      </c>
      <c r="AB2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1">
        <f>IF(tblOrdenes[[#This Row],[orden]]="","",_xlfn.XLOOKUP(tblOrdenes[[#This Row],[id_operacion]],tblEjecucion[id_operacion],tblEjecucion[precio],0))</f>
        <v/>
      </c>
      <c r="AJ269" s="11">
        <f>IF(tblOrdenes[[#This Row],[orden]]="","",MAX(0,_xlfn.XLOOKUP(tblOrdenes[[#This Row],[id_operacion]],tblEjecucion[id_operacion],tblEjecucion[costo_plan_total],0)-tblOrdenes[[#This Row],[costo_servicio]]))</f>
        <v/>
      </c>
      <c r="AK269" s="11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3">
        <f>IF(tblOrdenes[[#This Row],[fecha_inicio]]="","",TODAY()-tblOrdenes[[#This Row],[fecha_inicio]])</f>
        <v/>
      </c>
      <c r="AB2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1">
        <f>IF(tblOrdenes[[#This Row],[orden]]="","",_xlfn.XLOOKUP(tblOrdenes[[#This Row],[id_operacion]],tblEjecucion[id_operacion],tblEjecucion[precio],0))</f>
        <v/>
      </c>
      <c r="AJ270" s="11">
        <f>IF(tblOrdenes[[#This Row],[orden]]="","",MAX(0,_xlfn.XLOOKUP(tblOrdenes[[#This Row],[id_operacion]],tblEjecucion[id_operacion],tblEjecucion[costo_plan_total],0)-tblOrdenes[[#This Row],[costo_servicio]]))</f>
        <v/>
      </c>
      <c r="AK270" s="11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3">
        <f>IF(tblOrdenes[[#This Row],[fecha_inicio]]="","",TODAY()-tblOrdenes[[#This Row],[fecha_inicio]])</f>
        <v/>
      </c>
      <c r="AB2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1">
        <f>IF(tblOrdenes[[#This Row],[orden]]="","",_xlfn.XLOOKUP(tblOrdenes[[#This Row],[id_operacion]],tblEjecucion[id_operacion],tblEjecucion[precio],0))</f>
        <v/>
      </c>
      <c r="AJ271" s="11">
        <f>IF(tblOrdenes[[#This Row],[orden]]="","",MAX(0,_xlfn.XLOOKUP(tblOrdenes[[#This Row],[id_operacion]],tblEjecucion[id_operacion],tblEjecucion[costo_plan_total],0)-tblOrdenes[[#This Row],[costo_servicio]]))</f>
        <v/>
      </c>
      <c r="AK271" s="11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3">
        <f>IF(tblOrdenes[[#This Row],[fecha_inicio]]="","",TODAY()-tblOrdenes[[#This Row],[fecha_inicio]])</f>
        <v/>
      </c>
      <c r="AB2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1">
        <f>IF(tblOrdenes[[#This Row],[orden]]="","",_xlfn.XLOOKUP(tblOrdenes[[#This Row],[id_operacion]],tblEjecucion[id_operacion],tblEjecucion[precio],0))</f>
        <v/>
      </c>
      <c r="AJ272" s="11">
        <f>IF(tblOrdenes[[#This Row],[orden]]="","",MAX(0,_xlfn.XLOOKUP(tblOrdenes[[#This Row],[id_operacion]],tblEjecucion[id_operacion],tblEjecucion[costo_plan_total],0)-tblOrdenes[[#This Row],[costo_servicio]]))</f>
        <v/>
      </c>
      <c r="AK272" s="11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3">
        <f>IF(tblOrdenes[[#This Row],[fecha_inicio]]="","",TODAY()-tblOrdenes[[#This Row],[fecha_inicio]])</f>
        <v/>
      </c>
      <c r="AB2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1">
        <f>IF(tblOrdenes[[#This Row],[orden]]="","",_xlfn.XLOOKUP(tblOrdenes[[#This Row],[id_operacion]],tblEjecucion[id_operacion],tblEjecucion[precio],0))</f>
        <v/>
      </c>
      <c r="AJ273" s="11">
        <f>IF(tblOrdenes[[#This Row],[orden]]="","",MAX(0,_xlfn.XLOOKUP(tblOrdenes[[#This Row],[id_operacion]],tblEjecucion[id_operacion],tblEjecucion[costo_plan_total],0)-tblOrdenes[[#This Row],[costo_servicio]]))</f>
        <v/>
      </c>
      <c r="AK273" s="11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3">
        <f>IF(tblOrdenes[[#This Row],[fecha_inicio]]="","",TODAY()-tblOrdenes[[#This Row],[fecha_inicio]])</f>
        <v/>
      </c>
      <c r="AB2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1">
        <f>IF(tblOrdenes[[#This Row],[orden]]="","",_xlfn.XLOOKUP(tblOrdenes[[#This Row],[id_operacion]],tblEjecucion[id_operacion],tblEjecucion[precio],0))</f>
        <v/>
      </c>
      <c r="AJ274" s="11">
        <f>IF(tblOrdenes[[#This Row],[orden]]="","",MAX(0,_xlfn.XLOOKUP(tblOrdenes[[#This Row],[id_operacion]],tblEjecucion[id_operacion],tblEjecucion[costo_plan_total],0)-tblOrdenes[[#This Row],[costo_servicio]]))</f>
        <v/>
      </c>
      <c r="AK274" s="11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3">
        <f>IF(tblOrdenes[[#This Row],[fecha_inicio]]="","",TODAY()-tblOrdenes[[#This Row],[fecha_inicio]])</f>
        <v/>
      </c>
      <c r="AB2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1">
        <f>IF(tblOrdenes[[#This Row],[orden]]="","",_xlfn.XLOOKUP(tblOrdenes[[#This Row],[id_operacion]],tblEjecucion[id_operacion],tblEjecucion[precio],0))</f>
        <v/>
      </c>
      <c r="AJ275" s="11">
        <f>IF(tblOrdenes[[#This Row],[orden]]="","",MAX(0,_xlfn.XLOOKUP(tblOrdenes[[#This Row],[id_operacion]],tblEjecucion[id_operacion],tblEjecucion[costo_plan_total],0)-tblOrdenes[[#This Row],[costo_servicio]]))</f>
        <v/>
      </c>
      <c r="AK275" s="11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3">
        <f>IF(tblOrdenes[[#This Row],[fecha_inicio]]="","",TODAY()-tblOrdenes[[#This Row],[fecha_inicio]])</f>
        <v/>
      </c>
      <c r="AB2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1">
        <f>IF(tblOrdenes[[#This Row],[orden]]="","",_xlfn.XLOOKUP(tblOrdenes[[#This Row],[id_operacion]],tblEjecucion[id_operacion],tblEjecucion[precio],0))</f>
        <v/>
      </c>
      <c r="AJ276" s="11">
        <f>IF(tblOrdenes[[#This Row],[orden]]="","",MAX(0,_xlfn.XLOOKUP(tblOrdenes[[#This Row],[id_operacion]],tblEjecucion[id_operacion],tblEjecucion[costo_plan_total],0)-tblOrdenes[[#This Row],[costo_servicio]]))</f>
        <v/>
      </c>
      <c r="AK276" s="11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3">
        <f>IF(tblOrdenes[[#This Row],[fecha_inicio]]="","",TODAY()-tblOrdenes[[#This Row],[fecha_inicio]])</f>
        <v/>
      </c>
      <c r="AB2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1">
        <f>IF(tblOrdenes[[#This Row],[orden]]="","",_xlfn.XLOOKUP(tblOrdenes[[#This Row],[id_operacion]],tblEjecucion[id_operacion],tblEjecucion[precio],0))</f>
        <v/>
      </c>
      <c r="AJ277" s="11">
        <f>IF(tblOrdenes[[#This Row],[orden]]="","",MAX(0,_xlfn.XLOOKUP(tblOrdenes[[#This Row],[id_operacion]],tblEjecucion[id_operacion],tblEjecucion[costo_plan_total],0)-tblOrdenes[[#This Row],[costo_servicio]]))</f>
        <v/>
      </c>
      <c r="AK277" s="11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3">
        <f>IF(tblOrdenes[[#This Row],[fecha_inicio]]="","",TODAY()-tblOrdenes[[#This Row],[fecha_inicio]])</f>
        <v/>
      </c>
      <c r="AB2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1">
        <f>IF(tblOrdenes[[#This Row],[orden]]="","",_xlfn.XLOOKUP(tblOrdenes[[#This Row],[id_operacion]],tblEjecucion[id_operacion],tblEjecucion[precio],0))</f>
        <v/>
      </c>
      <c r="AJ278" s="11">
        <f>IF(tblOrdenes[[#This Row],[orden]]="","",MAX(0,_xlfn.XLOOKUP(tblOrdenes[[#This Row],[id_operacion]],tblEjecucion[id_operacion],tblEjecucion[costo_plan_total],0)-tblOrdenes[[#This Row],[costo_servicio]]))</f>
        <v/>
      </c>
      <c r="AK278" s="11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3">
        <f>IF(tblOrdenes[[#This Row],[fecha_inicio]]="","",TODAY()-tblOrdenes[[#This Row],[fecha_inicio]])</f>
        <v/>
      </c>
      <c r="AB2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1">
        <f>IF(tblOrdenes[[#This Row],[orden]]="","",_xlfn.XLOOKUP(tblOrdenes[[#This Row],[id_operacion]],tblEjecucion[id_operacion],tblEjecucion[precio],0))</f>
        <v/>
      </c>
      <c r="AJ279" s="11">
        <f>IF(tblOrdenes[[#This Row],[orden]]="","",MAX(0,_xlfn.XLOOKUP(tblOrdenes[[#This Row],[id_operacion]],tblEjecucion[id_operacion],tblEjecucion[costo_plan_total],0)-tblOrdenes[[#This Row],[costo_servicio]]))</f>
        <v/>
      </c>
      <c r="AK279" s="11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3">
        <f>IF(tblOrdenes[[#This Row],[fecha_inicio]]="","",TODAY()-tblOrdenes[[#This Row],[fecha_inicio]])</f>
        <v/>
      </c>
      <c r="AB2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1">
        <f>IF(tblOrdenes[[#This Row],[orden]]="","",_xlfn.XLOOKUP(tblOrdenes[[#This Row],[id_operacion]],tblEjecucion[id_operacion],tblEjecucion[precio],0))</f>
        <v/>
      </c>
      <c r="AJ280" s="11">
        <f>IF(tblOrdenes[[#This Row],[orden]]="","",MAX(0,_xlfn.XLOOKUP(tblOrdenes[[#This Row],[id_operacion]],tblEjecucion[id_operacion],tblEjecucion[costo_plan_total],0)-tblOrdenes[[#This Row],[costo_servicio]]))</f>
        <v/>
      </c>
      <c r="AK280" s="11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3">
        <f>IF(tblOrdenes[[#This Row],[fecha_inicio]]="","",TODAY()-tblOrdenes[[#This Row],[fecha_inicio]])</f>
        <v/>
      </c>
      <c r="AB2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1">
        <f>IF(tblOrdenes[[#This Row],[orden]]="","",_xlfn.XLOOKUP(tblOrdenes[[#This Row],[id_operacion]],tblEjecucion[id_operacion],tblEjecucion[precio],0))</f>
        <v/>
      </c>
      <c r="AJ281" s="11">
        <f>IF(tblOrdenes[[#This Row],[orden]]="","",MAX(0,_xlfn.XLOOKUP(tblOrdenes[[#This Row],[id_operacion]],tblEjecucion[id_operacion],tblEjecucion[costo_plan_total],0)-tblOrdenes[[#This Row],[costo_servicio]]))</f>
        <v/>
      </c>
      <c r="AK281" s="11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3">
        <f>IF(tblOrdenes[[#This Row],[fecha_inicio]]="","",TODAY()-tblOrdenes[[#This Row],[fecha_inicio]])</f>
        <v/>
      </c>
      <c r="AB2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1">
        <f>IF(tblOrdenes[[#This Row],[orden]]="","",_xlfn.XLOOKUP(tblOrdenes[[#This Row],[id_operacion]],tblEjecucion[id_operacion],tblEjecucion[precio],0))</f>
        <v/>
      </c>
      <c r="AJ282" s="11">
        <f>IF(tblOrdenes[[#This Row],[orden]]="","",MAX(0,_xlfn.XLOOKUP(tblOrdenes[[#This Row],[id_operacion]],tblEjecucion[id_operacion],tblEjecucion[costo_plan_total],0)-tblOrdenes[[#This Row],[costo_servicio]]))</f>
        <v/>
      </c>
      <c r="AK282" s="11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3">
        <f>IF(tblOrdenes[[#This Row],[fecha_inicio]]="","",TODAY()-tblOrdenes[[#This Row],[fecha_inicio]])</f>
        <v/>
      </c>
      <c r="AB2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1">
        <f>IF(tblOrdenes[[#This Row],[orden]]="","",_xlfn.XLOOKUP(tblOrdenes[[#This Row],[id_operacion]],tblEjecucion[id_operacion],tblEjecucion[precio],0))</f>
        <v/>
      </c>
      <c r="AJ283" s="11">
        <f>IF(tblOrdenes[[#This Row],[orden]]="","",MAX(0,_xlfn.XLOOKUP(tblOrdenes[[#This Row],[id_operacion]],tblEjecucion[id_operacion],tblEjecucion[costo_plan_total],0)-tblOrdenes[[#This Row],[costo_servicio]]))</f>
        <v/>
      </c>
      <c r="AK283" s="11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3">
        <f>IF(tblOrdenes[[#This Row],[fecha_inicio]]="","",TODAY()-tblOrdenes[[#This Row],[fecha_inicio]])</f>
        <v/>
      </c>
      <c r="AB2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1">
        <f>IF(tblOrdenes[[#This Row],[orden]]="","",_xlfn.XLOOKUP(tblOrdenes[[#This Row],[id_operacion]],tblEjecucion[id_operacion],tblEjecucion[precio],0))</f>
        <v/>
      </c>
      <c r="AJ284" s="11">
        <f>IF(tblOrdenes[[#This Row],[orden]]="","",MAX(0,_xlfn.XLOOKUP(tblOrdenes[[#This Row],[id_operacion]],tblEjecucion[id_operacion],tblEjecucion[costo_plan_total],0)-tblOrdenes[[#This Row],[costo_servicio]]))</f>
        <v/>
      </c>
      <c r="AK284" s="11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3">
        <f>IF(tblOrdenes[[#This Row],[fecha_inicio]]="","",TODAY()-tblOrdenes[[#This Row],[fecha_inicio]])</f>
        <v/>
      </c>
      <c r="AB2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1">
        <f>IF(tblOrdenes[[#This Row],[orden]]="","",_xlfn.XLOOKUP(tblOrdenes[[#This Row],[id_operacion]],tblEjecucion[id_operacion],tblEjecucion[precio],0))</f>
        <v/>
      </c>
      <c r="AJ285" s="11">
        <f>IF(tblOrdenes[[#This Row],[orden]]="","",MAX(0,_xlfn.XLOOKUP(tblOrdenes[[#This Row],[id_operacion]],tblEjecucion[id_operacion],tblEjecucion[costo_plan_total],0)-tblOrdenes[[#This Row],[costo_servicio]]))</f>
        <v/>
      </c>
      <c r="AK285" s="11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3">
        <f>IF(tblOrdenes[[#This Row],[fecha_inicio]]="","",TODAY()-tblOrdenes[[#This Row],[fecha_inicio]])</f>
        <v/>
      </c>
      <c r="AB2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1">
        <f>IF(tblOrdenes[[#This Row],[orden]]="","",_xlfn.XLOOKUP(tblOrdenes[[#This Row],[id_operacion]],tblEjecucion[id_operacion],tblEjecucion[precio],0))</f>
        <v/>
      </c>
      <c r="AJ286" s="11">
        <f>IF(tblOrdenes[[#This Row],[orden]]="","",MAX(0,_xlfn.XLOOKUP(tblOrdenes[[#This Row],[id_operacion]],tblEjecucion[id_operacion],tblEjecucion[costo_plan_total],0)-tblOrdenes[[#This Row],[costo_servicio]]))</f>
        <v/>
      </c>
      <c r="AK286" s="11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3">
        <f>IF(tblOrdenes[[#This Row],[fecha_inicio]]="","",TODAY()-tblOrdenes[[#This Row],[fecha_inicio]])</f>
        <v/>
      </c>
      <c r="AB2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1">
        <f>IF(tblOrdenes[[#This Row],[orden]]="","",_xlfn.XLOOKUP(tblOrdenes[[#This Row],[id_operacion]],tblEjecucion[id_operacion],tblEjecucion[precio],0))</f>
        <v/>
      </c>
      <c r="AJ287" s="11">
        <f>IF(tblOrdenes[[#This Row],[orden]]="","",MAX(0,_xlfn.XLOOKUP(tblOrdenes[[#This Row],[id_operacion]],tblEjecucion[id_operacion],tblEjecucion[costo_plan_total],0)-tblOrdenes[[#This Row],[costo_servicio]]))</f>
        <v/>
      </c>
      <c r="AK287" s="11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3">
        <f>IF(tblOrdenes[[#This Row],[fecha_inicio]]="","",TODAY()-tblOrdenes[[#This Row],[fecha_inicio]])</f>
        <v/>
      </c>
      <c r="AB2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1">
        <f>IF(tblOrdenes[[#This Row],[orden]]="","",_xlfn.XLOOKUP(tblOrdenes[[#This Row],[id_operacion]],tblEjecucion[id_operacion],tblEjecucion[precio],0))</f>
        <v/>
      </c>
      <c r="AJ288" s="11">
        <f>IF(tblOrdenes[[#This Row],[orden]]="","",MAX(0,_xlfn.XLOOKUP(tblOrdenes[[#This Row],[id_operacion]],tblEjecucion[id_operacion],tblEjecucion[costo_plan_total],0)-tblOrdenes[[#This Row],[costo_servicio]]))</f>
        <v/>
      </c>
      <c r="AK288" s="11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3">
        <f>IF(tblOrdenes[[#This Row],[fecha_inicio]]="","",TODAY()-tblOrdenes[[#This Row],[fecha_inicio]])</f>
        <v/>
      </c>
      <c r="AB2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1">
        <f>IF(tblOrdenes[[#This Row],[orden]]="","",_xlfn.XLOOKUP(tblOrdenes[[#This Row],[id_operacion]],tblEjecucion[id_operacion],tblEjecucion[precio],0))</f>
        <v/>
      </c>
      <c r="AJ289" s="11">
        <f>IF(tblOrdenes[[#This Row],[orden]]="","",MAX(0,_xlfn.XLOOKUP(tblOrdenes[[#This Row],[id_operacion]],tblEjecucion[id_operacion],tblEjecucion[costo_plan_total],0)-tblOrdenes[[#This Row],[costo_servicio]]))</f>
        <v/>
      </c>
      <c r="AK289" s="11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3">
        <f>IF(tblOrdenes[[#This Row],[fecha_inicio]]="","",TODAY()-tblOrdenes[[#This Row],[fecha_inicio]])</f>
        <v/>
      </c>
      <c r="AB2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1">
        <f>IF(tblOrdenes[[#This Row],[orden]]="","",_xlfn.XLOOKUP(tblOrdenes[[#This Row],[id_operacion]],tblEjecucion[id_operacion],tblEjecucion[precio],0))</f>
        <v/>
      </c>
      <c r="AJ290" s="11">
        <f>IF(tblOrdenes[[#This Row],[orden]]="","",MAX(0,_xlfn.XLOOKUP(tblOrdenes[[#This Row],[id_operacion]],tblEjecucion[id_operacion],tblEjecucion[costo_plan_total],0)-tblOrdenes[[#This Row],[costo_servicio]]))</f>
        <v/>
      </c>
      <c r="AK290" s="11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3">
        <f>IF(tblOrdenes[[#This Row],[fecha_inicio]]="","",TODAY()-tblOrdenes[[#This Row],[fecha_inicio]])</f>
        <v/>
      </c>
      <c r="AB2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1">
        <f>IF(tblOrdenes[[#This Row],[orden]]="","",_xlfn.XLOOKUP(tblOrdenes[[#This Row],[id_operacion]],tblEjecucion[id_operacion],tblEjecucion[precio],0))</f>
        <v/>
      </c>
      <c r="AJ291" s="11">
        <f>IF(tblOrdenes[[#This Row],[orden]]="","",MAX(0,_xlfn.XLOOKUP(tblOrdenes[[#This Row],[id_operacion]],tblEjecucion[id_operacion],tblEjecucion[costo_plan_total],0)-tblOrdenes[[#This Row],[costo_servicio]]))</f>
        <v/>
      </c>
      <c r="AK291" s="11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3">
        <f>IF(tblOrdenes[[#This Row],[fecha_inicio]]="","",TODAY()-tblOrdenes[[#This Row],[fecha_inicio]])</f>
        <v/>
      </c>
      <c r="AB2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1">
        <f>IF(tblOrdenes[[#This Row],[orden]]="","",_xlfn.XLOOKUP(tblOrdenes[[#This Row],[id_operacion]],tblEjecucion[id_operacion],tblEjecucion[precio],0))</f>
        <v/>
      </c>
      <c r="AJ292" s="11">
        <f>IF(tblOrdenes[[#This Row],[orden]]="","",MAX(0,_xlfn.XLOOKUP(tblOrdenes[[#This Row],[id_operacion]],tblEjecucion[id_operacion],tblEjecucion[costo_plan_total],0)-tblOrdenes[[#This Row],[costo_servicio]]))</f>
        <v/>
      </c>
      <c r="AK292" s="11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3">
        <f>IF(tblOrdenes[[#This Row],[fecha_inicio]]="","",TODAY()-tblOrdenes[[#This Row],[fecha_inicio]])</f>
        <v/>
      </c>
      <c r="AB2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1">
        <f>IF(tblOrdenes[[#This Row],[orden]]="","",_xlfn.XLOOKUP(tblOrdenes[[#This Row],[id_operacion]],tblEjecucion[id_operacion],tblEjecucion[precio],0))</f>
        <v/>
      </c>
      <c r="AJ293" s="11">
        <f>IF(tblOrdenes[[#This Row],[orden]]="","",MAX(0,_xlfn.XLOOKUP(tblOrdenes[[#This Row],[id_operacion]],tblEjecucion[id_operacion],tblEjecucion[costo_plan_total],0)-tblOrdenes[[#This Row],[costo_servicio]]))</f>
        <v/>
      </c>
      <c r="AK293" s="11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3">
        <f>IF(tblOrdenes[[#This Row],[fecha_inicio]]="","",TODAY()-tblOrdenes[[#This Row],[fecha_inicio]])</f>
        <v/>
      </c>
      <c r="AB2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1">
        <f>IF(tblOrdenes[[#This Row],[orden]]="","",_xlfn.XLOOKUP(tblOrdenes[[#This Row],[id_operacion]],tblEjecucion[id_operacion],tblEjecucion[precio],0))</f>
        <v/>
      </c>
      <c r="AJ294" s="11">
        <f>IF(tblOrdenes[[#This Row],[orden]]="","",MAX(0,_xlfn.XLOOKUP(tblOrdenes[[#This Row],[id_operacion]],tblEjecucion[id_operacion],tblEjecucion[costo_plan_total],0)-tblOrdenes[[#This Row],[costo_servicio]]))</f>
        <v/>
      </c>
      <c r="AK294" s="11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3">
        <f>IF(tblOrdenes[[#This Row],[fecha_inicio]]="","",TODAY()-tblOrdenes[[#This Row],[fecha_inicio]])</f>
        <v/>
      </c>
      <c r="AB2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1">
        <f>IF(tblOrdenes[[#This Row],[orden]]="","",_xlfn.XLOOKUP(tblOrdenes[[#This Row],[id_operacion]],tblEjecucion[id_operacion],tblEjecucion[precio],0))</f>
        <v/>
      </c>
      <c r="AJ295" s="11">
        <f>IF(tblOrdenes[[#This Row],[orden]]="","",MAX(0,_xlfn.XLOOKUP(tblOrdenes[[#This Row],[id_operacion]],tblEjecucion[id_operacion],tblEjecucion[costo_plan_total],0)-tblOrdenes[[#This Row],[costo_servicio]]))</f>
        <v/>
      </c>
      <c r="AK295" s="11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3">
        <f>IF(tblOrdenes[[#This Row],[fecha_inicio]]="","",TODAY()-tblOrdenes[[#This Row],[fecha_inicio]])</f>
        <v/>
      </c>
      <c r="AB2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1">
        <f>IF(tblOrdenes[[#This Row],[orden]]="","",_xlfn.XLOOKUP(tblOrdenes[[#This Row],[id_operacion]],tblEjecucion[id_operacion],tblEjecucion[precio],0))</f>
        <v/>
      </c>
      <c r="AJ296" s="11">
        <f>IF(tblOrdenes[[#This Row],[orden]]="","",MAX(0,_xlfn.XLOOKUP(tblOrdenes[[#This Row],[id_operacion]],tblEjecucion[id_operacion],tblEjecucion[costo_plan_total],0)-tblOrdenes[[#This Row],[costo_servicio]]))</f>
        <v/>
      </c>
      <c r="AK296" s="11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3">
        <f>IF(tblOrdenes[[#This Row],[fecha_inicio]]="","",TODAY()-tblOrdenes[[#This Row],[fecha_inicio]])</f>
        <v/>
      </c>
      <c r="AB2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1">
        <f>IF(tblOrdenes[[#This Row],[orden]]="","",_xlfn.XLOOKUP(tblOrdenes[[#This Row],[id_operacion]],tblEjecucion[id_operacion],tblEjecucion[precio],0))</f>
        <v/>
      </c>
      <c r="AJ297" s="11">
        <f>IF(tblOrdenes[[#This Row],[orden]]="","",MAX(0,_xlfn.XLOOKUP(tblOrdenes[[#This Row],[id_operacion]],tblEjecucion[id_operacion],tblEjecucion[costo_plan_total],0)-tblOrdenes[[#This Row],[costo_servicio]]))</f>
        <v/>
      </c>
      <c r="AK297" s="11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3">
        <f>IF(tblOrdenes[[#This Row],[fecha_inicio]]="","",TODAY()-tblOrdenes[[#This Row],[fecha_inicio]])</f>
        <v/>
      </c>
      <c r="AB2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1">
        <f>IF(tblOrdenes[[#This Row],[orden]]="","",_xlfn.XLOOKUP(tblOrdenes[[#This Row],[id_operacion]],tblEjecucion[id_operacion],tblEjecucion[precio],0))</f>
        <v/>
      </c>
      <c r="AJ298" s="11">
        <f>IF(tblOrdenes[[#This Row],[orden]]="","",MAX(0,_xlfn.XLOOKUP(tblOrdenes[[#This Row],[id_operacion]],tblEjecucion[id_operacion],tblEjecucion[costo_plan_total],0)-tblOrdenes[[#This Row],[costo_servicio]]))</f>
        <v/>
      </c>
      <c r="AK298" s="11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3">
        <f>IF(tblOrdenes[[#This Row],[fecha_inicio]]="","",TODAY()-tblOrdenes[[#This Row],[fecha_inicio]])</f>
        <v/>
      </c>
      <c r="AB2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1">
        <f>IF(tblOrdenes[[#This Row],[orden]]="","",_xlfn.XLOOKUP(tblOrdenes[[#This Row],[id_operacion]],tblEjecucion[id_operacion],tblEjecucion[precio],0))</f>
        <v/>
      </c>
      <c r="AJ299" s="11">
        <f>IF(tblOrdenes[[#This Row],[orden]]="","",MAX(0,_xlfn.XLOOKUP(tblOrdenes[[#This Row],[id_operacion]],tblEjecucion[id_operacion],tblEjecucion[costo_plan_total],0)-tblOrdenes[[#This Row],[costo_servicio]]))</f>
        <v/>
      </c>
      <c r="AK299" s="11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3">
        <f>IF(tblOrdenes[[#This Row],[fecha_inicio]]="","",TODAY()-tblOrdenes[[#This Row],[fecha_inicio]])</f>
        <v/>
      </c>
      <c r="AB3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1">
        <f>IF(tblOrdenes[[#This Row],[orden]]="","",_xlfn.XLOOKUP(tblOrdenes[[#This Row],[id_operacion]],tblEjecucion[id_operacion],tblEjecucion[precio],0))</f>
        <v/>
      </c>
      <c r="AJ300" s="11">
        <f>IF(tblOrdenes[[#This Row],[orden]]="","",MAX(0,_xlfn.XLOOKUP(tblOrdenes[[#This Row],[id_operacion]],tblEjecucion[id_operacion],tblEjecucion[costo_plan_total],0)-tblOrdenes[[#This Row],[costo_servicio]]))</f>
        <v/>
      </c>
      <c r="AK300" s="11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3">
        <f>IF(tblOrdenes[[#This Row],[fecha_inicio]]="","",TODAY()-tblOrdenes[[#This Row],[fecha_inicio]])</f>
        <v/>
      </c>
      <c r="AB3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1">
        <f>IF(tblOrdenes[[#This Row],[orden]]="","",_xlfn.XLOOKUP(tblOrdenes[[#This Row],[id_operacion]],tblEjecucion[id_operacion],tblEjecucion[precio],0))</f>
        <v/>
      </c>
      <c r="AJ301" s="11">
        <f>IF(tblOrdenes[[#This Row],[orden]]="","",MAX(0,_xlfn.XLOOKUP(tblOrdenes[[#This Row],[id_operacion]],tblEjecucion[id_operacion],tblEjecucion[costo_plan_total],0)-tblOrdenes[[#This Row],[costo_servicio]]))</f>
        <v/>
      </c>
      <c r="AK301" s="11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3">
        <f>IF(tblOrdenes[[#This Row],[fecha_inicio]]="","",TODAY()-tblOrdenes[[#This Row],[fecha_inicio]])</f>
        <v/>
      </c>
      <c r="AB3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1">
        <f>IF(tblOrdenes[[#This Row],[orden]]="","",_xlfn.XLOOKUP(tblOrdenes[[#This Row],[id_operacion]],tblEjecucion[id_operacion],tblEjecucion[precio],0))</f>
        <v/>
      </c>
      <c r="AJ302" s="11">
        <f>IF(tblOrdenes[[#This Row],[orden]]="","",MAX(0,_xlfn.XLOOKUP(tblOrdenes[[#This Row],[id_operacion]],tblEjecucion[id_operacion],tblEjecucion[costo_plan_total],0)-tblOrdenes[[#This Row],[costo_servicio]]))</f>
        <v/>
      </c>
      <c r="AK302" s="11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3">
        <f>IF(tblOrdenes[[#This Row],[fecha_inicio]]="","",TODAY()-tblOrdenes[[#This Row],[fecha_inicio]])</f>
        <v/>
      </c>
      <c r="AB3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1">
        <f>IF(tblOrdenes[[#This Row],[orden]]="","",_xlfn.XLOOKUP(tblOrdenes[[#This Row],[id_operacion]],tblEjecucion[id_operacion],tblEjecucion[precio],0))</f>
        <v/>
      </c>
      <c r="AJ303" s="11">
        <f>IF(tblOrdenes[[#This Row],[orden]]="","",MAX(0,_xlfn.XLOOKUP(tblOrdenes[[#This Row],[id_operacion]],tblEjecucion[id_operacion],tblEjecucion[costo_plan_total],0)-tblOrdenes[[#This Row],[costo_servicio]]))</f>
        <v/>
      </c>
      <c r="AK303" s="11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3">
        <f>IF(tblOrdenes[[#This Row],[fecha_inicio]]="","",TODAY()-tblOrdenes[[#This Row],[fecha_inicio]])</f>
        <v/>
      </c>
      <c r="AB3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1">
        <f>IF(tblOrdenes[[#This Row],[orden]]="","",_xlfn.XLOOKUP(tblOrdenes[[#This Row],[id_operacion]],tblEjecucion[id_operacion],tblEjecucion[precio],0))</f>
        <v/>
      </c>
      <c r="AJ304" s="11">
        <f>IF(tblOrdenes[[#This Row],[orden]]="","",MAX(0,_xlfn.XLOOKUP(tblOrdenes[[#This Row],[id_operacion]],tblEjecucion[id_operacion],tblEjecucion[costo_plan_total],0)-tblOrdenes[[#This Row],[costo_servicio]]))</f>
        <v/>
      </c>
      <c r="AK304" s="11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3">
        <f>IF(tblOrdenes[[#This Row],[fecha_inicio]]="","",TODAY()-tblOrdenes[[#This Row],[fecha_inicio]])</f>
        <v/>
      </c>
      <c r="AB3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1">
        <f>IF(tblOrdenes[[#This Row],[orden]]="","",_xlfn.XLOOKUP(tblOrdenes[[#This Row],[id_operacion]],tblEjecucion[id_operacion],tblEjecucion[precio],0))</f>
        <v/>
      </c>
      <c r="AJ305" s="11">
        <f>IF(tblOrdenes[[#This Row],[orden]]="","",MAX(0,_xlfn.XLOOKUP(tblOrdenes[[#This Row],[id_operacion]],tblEjecucion[id_operacion],tblEjecucion[costo_plan_total],0)-tblOrdenes[[#This Row],[costo_servicio]]))</f>
        <v/>
      </c>
      <c r="AK305" s="11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3">
        <f>IF(tblOrdenes[[#This Row],[fecha_inicio]]="","",TODAY()-tblOrdenes[[#This Row],[fecha_inicio]])</f>
        <v/>
      </c>
      <c r="AB3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1">
        <f>IF(tblOrdenes[[#This Row],[orden]]="","",_xlfn.XLOOKUP(tblOrdenes[[#This Row],[id_operacion]],tblEjecucion[id_operacion],tblEjecucion[precio],0))</f>
        <v/>
      </c>
      <c r="AJ306" s="11">
        <f>IF(tblOrdenes[[#This Row],[orden]]="","",MAX(0,_xlfn.XLOOKUP(tblOrdenes[[#This Row],[id_operacion]],tblEjecucion[id_operacion],tblEjecucion[costo_plan_total],0)-tblOrdenes[[#This Row],[costo_servicio]]))</f>
        <v/>
      </c>
      <c r="AK306" s="11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3">
        <f>IF(tblOrdenes[[#This Row],[fecha_inicio]]="","",TODAY()-tblOrdenes[[#This Row],[fecha_inicio]])</f>
        <v/>
      </c>
      <c r="AB3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1">
        <f>IF(tblOrdenes[[#This Row],[orden]]="","",_xlfn.XLOOKUP(tblOrdenes[[#This Row],[id_operacion]],tblEjecucion[id_operacion],tblEjecucion[precio],0))</f>
        <v/>
      </c>
      <c r="AJ307" s="11">
        <f>IF(tblOrdenes[[#This Row],[orden]]="","",MAX(0,_xlfn.XLOOKUP(tblOrdenes[[#This Row],[id_operacion]],tblEjecucion[id_operacion],tblEjecucion[costo_plan_total],0)-tblOrdenes[[#This Row],[costo_servicio]]))</f>
        <v/>
      </c>
      <c r="AK307" s="11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3">
        <f>IF(tblOrdenes[[#This Row],[fecha_inicio]]="","",TODAY()-tblOrdenes[[#This Row],[fecha_inicio]])</f>
        <v/>
      </c>
      <c r="AB3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1">
        <f>IF(tblOrdenes[[#This Row],[orden]]="","",_xlfn.XLOOKUP(tblOrdenes[[#This Row],[id_operacion]],tblEjecucion[id_operacion],tblEjecucion[precio],0))</f>
        <v/>
      </c>
      <c r="AJ308" s="11">
        <f>IF(tblOrdenes[[#This Row],[orden]]="","",MAX(0,_xlfn.XLOOKUP(tblOrdenes[[#This Row],[id_operacion]],tblEjecucion[id_operacion],tblEjecucion[costo_plan_total],0)-tblOrdenes[[#This Row],[costo_servicio]]))</f>
        <v/>
      </c>
      <c r="AK308" s="11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3">
        <f>IF(tblOrdenes[[#This Row],[fecha_inicio]]="","",TODAY()-tblOrdenes[[#This Row],[fecha_inicio]])</f>
        <v/>
      </c>
      <c r="AB3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1">
        <f>IF(tblOrdenes[[#This Row],[orden]]="","",_xlfn.XLOOKUP(tblOrdenes[[#This Row],[id_operacion]],tblEjecucion[id_operacion],tblEjecucion[precio],0))</f>
        <v/>
      </c>
      <c r="AJ309" s="11">
        <f>IF(tblOrdenes[[#This Row],[orden]]="","",MAX(0,_xlfn.XLOOKUP(tblOrdenes[[#This Row],[id_operacion]],tblEjecucion[id_operacion],tblEjecucion[costo_plan_total],0)-tblOrdenes[[#This Row],[costo_servicio]]))</f>
        <v/>
      </c>
      <c r="AK309" s="11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3">
        <f>IF(tblOrdenes[[#This Row],[fecha_inicio]]="","",TODAY()-tblOrdenes[[#This Row],[fecha_inicio]])</f>
        <v/>
      </c>
      <c r="AB3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1">
        <f>IF(tblOrdenes[[#This Row],[orden]]="","",_xlfn.XLOOKUP(tblOrdenes[[#This Row],[id_operacion]],tblEjecucion[id_operacion],tblEjecucion[precio],0))</f>
        <v/>
      </c>
      <c r="AJ310" s="11">
        <f>IF(tblOrdenes[[#This Row],[orden]]="","",MAX(0,_xlfn.XLOOKUP(tblOrdenes[[#This Row],[id_operacion]],tblEjecucion[id_operacion],tblEjecucion[costo_plan_total],0)-tblOrdenes[[#This Row],[costo_servicio]]))</f>
        <v/>
      </c>
      <c r="AK310" s="11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3">
        <f>IF(tblOrdenes[[#This Row],[fecha_inicio]]="","",TODAY()-tblOrdenes[[#This Row],[fecha_inicio]])</f>
        <v/>
      </c>
      <c r="AB3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1">
        <f>IF(tblOrdenes[[#This Row],[orden]]="","",_xlfn.XLOOKUP(tblOrdenes[[#This Row],[id_operacion]],tblEjecucion[id_operacion],tblEjecucion[precio],0))</f>
        <v/>
      </c>
      <c r="AJ311" s="11">
        <f>IF(tblOrdenes[[#This Row],[orden]]="","",MAX(0,_xlfn.XLOOKUP(tblOrdenes[[#This Row],[id_operacion]],tblEjecucion[id_operacion],tblEjecucion[costo_plan_total],0)-tblOrdenes[[#This Row],[costo_servicio]]))</f>
        <v/>
      </c>
      <c r="AK311" s="11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3">
        <f>IF(tblOrdenes[[#This Row],[fecha_inicio]]="","",TODAY()-tblOrdenes[[#This Row],[fecha_inicio]])</f>
        <v/>
      </c>
      <c r="AB3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1">
        <f>IF(tblOrdenes[[#This Row],[orden]]="","",_xlfn.XLOOKUP(tblOrdenes[[#This Row],[id_operacion]],tblEjecucion[id_operacion],tblEjecucion[precio],0))</f>
        <v/>
      </c>
      <c r="AJ312" s="11">
        <f>IF(tblOrdenes[[#This Row],[orden]]="","",MAX(0,_xlfn.XLOOKUP(tblOrdenes[[#This Row],[id_operacion]],tblEjecucion[id_operacion],tblEjecucion[costo_plan_total],0)-tblOrdenes[[#This Row],[costo_servicio]]))</f>
        <v/>
      </c>
      <c r="AK312" s="11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3">
        <f>IF(tblOrdenes[[#This Row],[fecha_inicio]]="","",TODAY()-tblOrdenes[[#This Row],[fecha_inicio]])</f>
        <v/>
      </c>
      <c r="AB3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1">
        <f>IF(tblOrdenes[[#This Row],[orden]]="","",_xlfn.XLOOKUP(tblOrdenes[[#This Row],[id_operacion]],tblEjecucion[id_operacion],tblEjecucion[precio],0))</f>
        <v/>
      </c>
      <c r="AJ313" s="11">
        <f>IF(tblOrdenes[[#This Row],[orden]]="","",MAX(0,_xlfn.XLOOKUP(tblOrdenes[[#This Row],[id_operacion]],tblEjecucion[id_operacion],tblEjecucion[costo_plan_total],0)-tblOrdenes[[#This Row],[costo_servicio]]))</f>
        <v/>
      </c>
      <c r="AK313" s="11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3">
        <f>IF(tblOrdenes[[#This Row],[fecha_inicio]]="","",TODAY()-tblOrdenes[[#This Row],[fecha_inicio]])</f>
        <v/>
      </c>
      <c r="AB3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1">
        <f>IF(tblOrdenes[[#This Row],[orden]]="","",_xlfn.XLOOKUP(tblOrdenes[[#This Row],[id_operacion]],tblEjecucion[id_operacion],tblEjecucion[precio],0))</f>
        <v/>
      </c>
      <c r="AJ314" s="11">
        <f>IF(tblOrdenes[[#This Row],[orden]]="","",MAX(0,_xlfn.XLOOKUP(tblOrdenes[[#This Row],[id_operacion]],tblEjecucion[id_operacion],tblEjecucion[costo_plan_total],0)-tblOrdenes[[#This Row],[costo_servicio]]))</f>
        <v/>
      </c>
      <c r="AK314" s="11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3">
        <f>IF(tblOrdenes[[#This Row],[fecha_inicio]]="","",TODAY()-tblOrdenes[[#This Row],[fecha_inicio]])</f>
        <v/>
      </c>
      <c r="AB3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1">
        <f>IF(tblOrdenes[[#This Row],[orden]]="","",_xlfn.XLOOKUP(tblOrdenes[[#This Row],[id_operacion]],tblEjecucion[id_operacion],tblEjecucion[precio],0))</f>
        <v/>
      </c>
      <c r="AJ315" s="11">
        <f>IF(tblOrdenes[[#This Row],[orden]]="","",MAX(0,_xlfn.XLOOKUP(tblOrdenes[[#This Row],[id_operacion]],tblEjecucion[id_operacion],tblEjecucion[costo_plan_total],0)-tblOrdenes[[#This Row],[costo_servicio]]))</f>
        <v/>
      </c>
      <c r="AK315" s="11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3">
        <f>IF(tblOrdenes[[#This Row],[fecha_inicio]]="","",TODAY()-tblOrdenes[[#This Row],[fecha_inicio]])</f>
        <v/>
      </c>
      <c r="AB3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1">
        <f>IF(tblOrdenes[[#This Row],[orden]]="","",_xlfn.XLOOKUP(tblOrdenes[[#This Row],[id_operacion]],tblEjecucion[id_operacion],tblEjecucion[precio],0))</f>
        <v/>
      </c>
      <c r="AJ316" s="11">
        <f>IF(tblOrdenes[[#This Row],[orden]]="","",MAX(0,_xlfn.XLOOKUP(tblOrdenes[[#This Row],[id_operacion]],tblEjecucion[id_operacion],tblEjecucion[costo_plan_total],0)-tblOrdenes[[#This Row],[costo_servicio]]))</f>
        <v/>
      </c>
      <c r="AK316" s="11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3">
        <f>IF(tblOrdenes[[#This Row],[fecha_inicio]]="","",TODAY()-tblOrdenes[[#This Row],[fecha_inicio]])</f>
        <v/>
      </c>
      <c r="AB3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1">
        <f>IF(tblOrdenes[[#This Row],[orden]]="","",_xlfn.XLOOKUP(tblOrdenes[[#This Row],[id_operacion]],tblEjecucion[id_operacion],tblEjecucion[precio],0))</f>
        <v/>
      </c>
      <c r="AJ317" s="11">
        <f>IF(tblOrdenes[[#This Row],[orden]]="","",MAX(0,_xlfn.XLOOKUP(tblOrdenes[[#This Row],[id_operacion]],tblEjecucion[id_operacion],tblEjecucion[costo_plan_total],0)-tblOrdenes[[#This Row],[costo_servicio]]))</f>
        <v/>
      </c>
      <c r="AK317" s="11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3">
        <f>IF(tblOrdenes[[#This Row],[fecha_inicio]]="","",TODAY()-tblOrdenes[[#This Row],[fecha_inicio]])</f>
        <v/>
      </c>
      <c r="AB3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1">
        <f>IF(tblOrdenes[[#This Row],[orden]]="","",_xlfn.XLOOKUP(tblOrdenes[[#This Row],[id_operacion]],tblEjecucion[id_operacion],tblEjecucion[precio],0))</f>
        <v/>
      </c>
      <c r="AJ318" s="11">
        <f>IF(tblOrdenes[[#This Row],[orden]]="","",MAX(0,_xlfn.XLOOKUP(tblOrdenes[[#This Row],[id_operacion]],tblEjecucion[id_operacion],tblEjecucion[costo_plan_total],0)-tblOrdenes[[#This Row],[costo_servicio]]))</f>
        <v/>
      </c>
      <c r="AK318" s="11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3">
        <f>IF(tblOrdenes[[#This Row],[fecha_inicio]]="","",TODAY()-tblOrdenes[[#This Row],[fecha_inicio]])</f>
        <v/>
      </c>
      <c r="AB3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1">
        <f>IF(tblOrdenes[[#This Row],[orden]]="","",_xlfn.XLOOKUP(tblOrdenes[[#This Row],[id_operacion]],tblEjecucion[id_operacion],tblEjecucion[precio],0))</f>
        <v/>
      </c>
      <c r="AJ319" s="11">
        <f>IF(tblOrdenes[[#This Row],[orden]]="","",MAX(0,_xlfn.XLOOKUP(tblOrdenes[[#This Row],[id_operacion]],tblEjecucion[id_operacion],tblEjecucion[costo_plan_total],0)-tblOrdenes[[#This Row],[costo_servicio]]))</f>
        <v/>
      </c>
      <c r="AK319" s="11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3">
        <f>IF(tblOrdenes[[#This Row],[fecha_inicio]]="","",TODAY()-tblOrdenes[[#This Row],[fecha_inicio]])</f>
        <v/>
      </c>
      <c r="AB3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1">
        <f>IF(tblOrdenes[[#This Row],[orden]]="","",_xlfn.XLOOKUP(tblOrdenes[[#This Row],[id_operacion]],tblEjecucion[id_operacion],tblEjecucion[precio],0))</f>
        <v/>
      </c>
      <c r="AJ320" s="11">
        <f>IF(tblOrdenes[[#This Row],[orden]]="","",MAX(0,_xlfn.XLOOKUP(tblOrdenes[[#This Row],[id_operacion]],tblEjecucion[id_operacion],tblEjecucion[costo_plan_total],0)-tblOrdenes[[#This Row],[costo_servicio]]))</f>
        <v/>
      </c>
      <c r="AK320" s="11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3">
        <f>IF(tblOrdenes[[#This Row],[fecha_inicio]]="","",TODAY()-tblOrdenes[[#This Row],[fecha_inicio]])</f>
        <v/>
      </c>
      <c r="AB3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1">
        <f>IF(tblOrdenes[[#This Row],[orden]]="","",_xlfn.XLOOKUP(tblOrdenes[[#This Row],[id_operacion]],tblEjecucion[id_operacion],tblEjecucion[precio],0))</f>
        <v/>
      </c>
      <c r="AJ321" s="11">
        <f>IF(tblOrdenes[[#This Row],[orden]]="","",MAX(0,_xlfn.XLOOKUP(tblOrdenes[[#This Row],[id_operacion]],tblEjecucion[id_operacion],tblEjecucion[costo_plan_total],0)-tblOrdenes[[#This Row],[costo_servicio]]))</f>
        <v/>
      </c>
      <c r="AK321" s="11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3">
        <f>IF(tblOrdenes[[#This Row],[fecha_inicio]]="","",TODAY()-tblOrdenes[[#This Row],[fecha_inicio]])</f>
        <v/>
      </c>
      <c r="AB3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1">
        <f>IF(tblOrdenes[[#This Row],[orden]]="","",_xlfn.XLOOKUP(tblOrdenes[[#This Row],[id_operacion]],tblEjecucion[id_operacion],tblEjecucion[precio],0))</f>
        <v/>
      </c>
      <c r="AJ322" s="11">
        <f>IF(tblOrdenes[[#This Row],[orden]]="","",MAX(0,_xlfn.XLOOKUP(tblOrdenes[[#This Row],[id_operacion]],tblEjecucion[id_operacion],tblEjecucion[costo_plan_total],0)-tblOrdenes[[#This Row],[costo_servicio]]))</f>
        <v/>
      </c>
      <c r="AK322" s="11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3">
        <f>IF(tblOrdenes[[#This Row],[fecha_inicio]]="","",TODAY()-tblOrdenes[[#This Row],[fecha_inicio]])</f>
        <v/>
      </c>
      <c r="AB3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1">
        <f>IF(tblOrdenes[[#This Row],[orden]]="","",_xlfn.XLOOKUP(tblOrdenes[[#This Row],[id_operacion]],tblEjecucion[id_operacion],tblEjecucion[precio],0))</f>
        <v/>
      </c>
      <c r="AJ323" s="11">
        <f>IF(tblOrdenes[[#This Row],[orden]]="","",MAX(0,_xlfn.XLOOKUP(tblOrdenes[[#This Row],[id_operacion]],tblEjecucion[id_operacion],tblEjecucion[costo_plan_total],0)-tblOrdenes[[#This Row],[costo_servicio]]))</f>
        <v/>
      </c>
      <c r="AK323" s="11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3">
        <f>IF(tblOrdenes[[#This Row],[fecha_inicio]]="","",TODAY()-tblOrdenes[[#This Row],[fecha_inicio]])</f>
        <v/>
      </c>
      <c r="AB3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1">
        <f>IF(tblOrdenes[[#This Row],[orden]]="","",_xlfn.XLOOKUP(tblOrdenes[[#This Row],[id_operacion]],tblEjecucion[id_operacion],tblEjecucion[precio],0))</f>
        <v/>
      </c>
      <c r="AJ324" s="11">
        <f>IF(tblOrdenes[[#This Row],[orden]]="","",MAX(0,_xlfn.XLOOKUP(tblOrdenes[[#This Row],[id_operacion]],tblEjecucion[id_operacion],tblEjecucion[costo_plan_total],0)-tblOrdenes[[#This Row],[costo_servicio]]))</f>
        <v/>
      </c>
      <c r="AK324" s="11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3">
        <f>IF(tblOrdenes[[#This Row],[fecha_inicio]]="","",TODAY()-tblOrdenes[[#This Row],[fecha_inicio]])</f>
        <v/>
      </c>
      <c r="AB3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1">
        <f>IF(tblOrdenes[[#This Row],[orden]]="","",_xlfn.XLOOKUP(tblOrdenes[[#This Row],[id_operacion]],tblEjecucion[id_operacion],tblEjecucion[precio],0))</f>
        <v/>
      </c>
      <c r="AJ325" s="11">
        <f>IF(tblOrdenes[[#This Row],[orden]]="","",MAX(0,_xlfn.XLOOKUP(tblOrdenes[[#This Row],[id_operacion]],tblEjecucion[id_operacion],tblEjecucion[costo_plan_total],0)-tblOrdenes[[#This Row],[costo_servicio]]))</f>
        <v/>
      </c>
      <c r="AK325" s="11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3">
        <f>IF(tblOrdenes[[#This Row],[fecha_inicio]]="","",TODAY()-tblOrdenes[[#This Row],[fecha_inicio]])</f>
        <v/>
      </c>
      <c r="AB3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1">
        <f>IF(tblOrdenes[[#This Row],[orden]]="","",_xlfn.XLOOKUP(tblOrdenes[[#This Row],[id_operacion]],tblEjecucion[id_operacion],tblEjecucion[precio],0))</f>
        <v/>
      </c>
      <c r="AJ326" s="11">
        <f>IF(tblOrdenes[[#This Row],[orden]]="","",MAX(0,_xlfn.XLOOKUP(tblOrdenes[[#This Row],[id_operacion]],tblEjecucion[id_operacion],tblEjecucion[costo_plan_total],0)-tblOrdenes[[#This Row],[costo_servicio]]))</f>
        <v/>
      </c>
      <c r="AK326" s="11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3">
        <f>IF(tblOrdenes[[#This Row],[fecha_inicio]]="","",TODAY()-tblOrdenes[[#This Row],[fecha_inicio]])</f>
        <v/>
      </c>
      <c r="AB3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1">
        <f>IF(tblOrdenes[[#This Row],[orden]]="","",_xlfn.XLOOKUP(tblOrdenes[[#This Row],[id_operacion]],tblEjecucion[id_operacion],tblEjecucion[precio],0))</f>
        <v/>
      </c>
      <c r="AJ327" s="11">
        <f>IF(tblOrdenes[[#This Row],[orden]]="","",MAX(0,_xlfn.XLOOKUP(tblOrdenes[[#This Row],[id_operacion]],tblEjecucion[id_operacion],tblEjecucion[costo_plan_total],0)-tblOrdenes[[#This Row],[costo_servicio]]))</f>
        <v/>
      </c>
      <c r="AK327" s="11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3">
        <f>IF(tblOrdenes[[#This Row],[fecha_inicio]]="","",TODAY()-tblOrdenes[[#This Row],[fecha_inicio]])</f>
        <v/>
      </c>
      <c r="AB3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1">
        <f>IF(tblOrdenes[[#This Row],[orden]]="","",_xlfn.XLOOKUP(tblOrdenes[[#This Row],[id_operacion]],tblEjecucion[id_operacion],tblEjecucion[precio],0))</f>
        <v/>
      </c>
      <c r="AJ328" s="11">
        <f>IF(tblOrdenes[[#This Row],[orden]]="","",MAX(0,_xlfn.XLOOKUP(tblOrdenes[[#This Row],[id_operacion]],tblEjecucion[id_operacion],tblEjecucion[costo_plan_total],0)-tblOrdenes[[#This Row],[costo_servicio]]))</f>
        <v/>
      </c>
      <c r="AK328" s="11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3">
        <f>IF(tblOrdenes[[#This Row],[fecha_inicio]]="","",TODAY()-tblOrdenes[[#This Row],[fecha_inicio]])</f>
        <v/>
      </c>
      <c r="AB3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1">
        <f>IF(tblOrdenes[[#This Row],[orden]]="","",_xlfn.XLOOKUP(tblOrdenes[[#This Row],[id_operacion]],tblEjecucion[id_operacion],tblEjecucion[precio],0))</f>
        <v/>
      </c>
      <c r="AJ329" s="11">
        <f>IF(tblOrdenes[[#This Row],[orden]]="","",MAX(0,_xlfn.XLOOKUP(tblOrdenes[[#This Row],[id_operacion]],tblEjecucion[id_operacion],tblEjecucion[costo_plan_total],0)-tblOrdenes[[#This Row],[costo_servicio]]))</f>
        <v/>
      </c>
      <c r="AK329" s="11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3">
        <f>IF(tblOrdenes[[#This Row],[fecha_inicio]]="","",TODAY()-tblOrdenes[[#This Row],[fecha_inicio]])</f>
        <v/>
      </c>
      <c r="AB3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1">
        <f>IF(tblOrdenes[[#This Row],[orden]]="","",_xlfn.XLOOKUP(tblOrdenes[[#This Row],[id_operacion]],tblEjecucion[id_operacion],tblEjecucion[precio],0))</f>
        <v/>
      </c>
      <c r="AJ330" s="11">
        <f>IF(tblOrdenes[[#This Row],[orden]]="","",MAX(0,_xlfn.XLOOKUP(tblOrdenes[[#This Row],[id_operacion]],tblEjecucion[id_operacion],tblEjecucion[costo_plan_total],0)-tblOrdenes[[#This Row],[costo_servicio]]))</f>
        <v/>
      </c>
      <c r="AK330" s="11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3">
        <f>IF(tblOrdenes[[#This Row],[fecha_inicio]]="","",TODAY()-tblOrdenes[[#This Row],[fecha_inicio]])</f>
        <v/>
      </c>
      <c r="AB3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1">
        <f>IF(tblOrdenes[[#This Row],[orden]]="","",_xlfn.XLOOKUP(tblOrdenes[[#This Row],[id_operacion]],tblEjecucion[id_operacion],tblEjecucion[precio],0))</f>
        <v/>
      </c>
      <c r="AJ331" s="11">
        <f>IF(tblOrdenes[[#This Row],[orden]]="","",MAX(0,_xlfn.XLOOKUP(tblOrdenes[[#This Row],[id_operacion]],tblEjecucion[id_operacion],tblEjecucion[costo_plan_total],0)-tblOrdenes[[#This Row],[costo_servicio]]))</f>
        <v/>
      </c>
      <c r="AK331" s="11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3">
        <f>IF(tblOrdenes[[#This Row],[fecha_inicio]]="","",TODAY()-tblOrdenes[[#This Row],[fecha_inicio]])</f>
        <v/>
      </c>
      <c r="AB3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1">
        <f>IF(tblOrdenes[[#This Row],[orden]]="","",_xlfn.XLOOKUP(tblOrdenes[[#This Row],[id_operacion]],tblEjecucion[id_operacion],tblEjecucion[precio],0))</f>
        <v/>
      </c>
      <c r="AJ332" s="11">
        <f>IF(tblOrdenes[[#This Row],[orden]]="","",MAX(0,_xlfn.XLOOKUP(tblOrdenes[[#This Row],[id_operacion]],tblEjecucion[id_operacion],tblEjecucion[costo_plan_total],0)-tblOrdenes[[#This Row],[costo_servicio]]))</f>
        <v/>
      </c>
      <c r="AK332" s="11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3">
        <f>IF(tblOrdenes[[#This Row],[fecha_inicio]]="","",TODAY()-tblOrdenes[[#This Row],[fecha_inicio]])</f>
        <v/>
      </c>
      <c r="AB3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1">
        <f>IF(tblOrdenes[[#This Row],[orden]]="","",_xlfn.XLOOKUP(tblOrdenes[[#This Row],[id_operacion]],tblEjecucion[id_operacion],tblEjecucion[precio],0))</f>
        <v/>
      </c>
      <c r="AJ333" s="11">
        <f>IF(tblOrdenes[[#This Row],[orden]]="","",MAX(0,_xlfn.XLOOKUP(tblOrdenes[[#This Row],[id_operacion]],tblEjecucion[id_operacion],tblEjecucion[costo_plan_total],0)-tblOrdenes[[#This Row],[costo_servicio]]))</f>
        <v/>
      </c>
      <c r="AK333" s="11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3">
        <f>IF(tblOrdenes[[#This Row],[fecha_inicio]]="","",TODAY()-tblOrdenes[[#This Row],[fecha_inicio]])</f>
        <v/>
      </c>
      <c r="AB3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1">
        <f>IF(tblOrdenes[[#This Row],[orden]]="","",_xlfn.XLOOKUP(tblOrdenes[[#This Row],[id_operacion]],tblEjecucion[id_operacion],tblEjecucion[precio],0))</f>
        <v/>
      </c>
      <c r="AJ334" s="11">
        <f>IF(tblOrdenes[[#This Row],[orden]]="","",MAX(0,_xlfn.XLOOKUP(tblOrdenes[[#This Row],[id_operacion]],tblEjecucion[id_operacion],tblEjecucion[costo_plan_total],0)-tblOrdenes[[#This Row],[costo_servicio]]))</f>
        <v/>
      </c>
      <c r="AK334" s="11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3">
        <f>IF(tblOrdenes[[#This Row],[fecha_inicio]]="","",TODAY()-tblOrdenes[[#This Row],[fecha_inicio]])</f>
        <v/>
      </c>
      <c r="AB3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1">
        <f>IF(tblOrdenes[[#This Row],[orden]]="","",_xlfn.XLOOKUP(tblOrdenes[[#This Row],[id_operacion]],tblEjecucion[id_operacion],tblEjecucion[precio],0))</f>
        <v/>
      </c>
      <c r="AJ335" s="11">
        <f>IF(tblOrdenes[[#This Row],[orden]]="","",MAX(0,_xlfn.XLOOKUP(tblOrdenes[[#This Row],[id_operacion]],tblEjecucion[id_operacion],tblEjecucion[costo_plan_total],0)-tblOrdenes[[#This Row],[costo_servicio]]))</f>
        <v/>
      </c>
      <c r="AK335" s="11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3">
        <f>IF(tblOrdenes[[#This Row],[fecha_inicio]]="","",TODAY()-tblOrdenes[[#This Row],[fecha_inicio]])</f>
        <v/>
      </c>
      <c r="AB3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1">
        <f>IF(tblOrdenes[[#This Row],[orden]]="","",_xlfn.XLOOKUP(tblOrdenes[[#This Row],[id_operacion]],tblEjecucion[id_operacion],tblEjecucion[precio],0))</f>
        <v/>
      </c>
      <c r="AJ336" s="11">
        <f>IF(tblOrdenes[[#This Row],[orden]]="","",MAX(0,_xlfn.XLOOKUP(tblOrdenes[[#This Row],[id_operacion]],tblEjecucion[id_operacion],tblEjecucion[costo_plan_total],0)-tblOrdenes[[#This Row],[costo_servicio]]))</f>
        <v/>
      </c>
      <c r="AK336" s="11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3">
        <f>IF(tblOrdenes[[#This Row],[fecha_inicio]]="","",TODAY()-tblOrdenes[[#This Row],[fecha_inicio]])</f>
        <v/>
      </c>
      <c r="AB3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1">
        <f>IF(tblOrdenes[[#This Row],[orden]]="","",_xlfn.XLOOKUP(tblOrdenes[[#This Row],[id_operacion]],tblEjecucion[id_operacion],tblEjecucion[precio],0))</f>
        <v/>
      </c>
      <c r="AJ337" s="11">
        <f>IF(tblOrdenes[[#This Row],[orden]]="","",MAX(0,_xlfn.XLOOKUP(tblOrdenes[[#This Row],[id_operacion]],tblEjecucion[id_operacion],tblEjecucion[costo_plan_total],0)-tblOrdenes[[#This Row],[costo_servicio]]))</f>
        <v/>
      </c>
      <c r="AK337" s="11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3">
        <f>IF(tblOrdenes[[#This Row],[fecha_inicio]]="","",TODAY()-tblOrdenes[[#This Row],[fecha_inicio]])</f>
        <v/>
      </c>
      <c r="AB3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1">
        <f>IF(tblOrdenes[[#This Row],[orden]]="","",_xlfn.XLOOKUP(tblOrdenes[[#This Row],[id_operacion]],tblEjecucion[id_operacion],tblEjecucion[precio],0))</f>
        <v/>
      </c>
      <c r="AJ338" s="11">
        <f>IF(tblOrdenes[[#This Row],[orden]]="","",MAX(0,_xlfn.XLOOKUP(tblOrdenes[[#This Row],[id_operacion]],tblEjecucion[id_operacion],tblEjecucion[costo_plan_total],0)-tblOrdenes[[#This Row],[costo_servicio]]))</f>
        <v/>
      </c>
      <c r="AK338" s="11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3">
        <f>IF(tblOrdenes[[#This Row],[fecha_inicio]]="","",TODAY()-tblOrdenes[[#This Row],[fecha_inicio]])</f>
        <v/>
      </c>
      <c r="AB3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1">
        <f>IF(tblOrdenes[[#This Row],[orden]]="","",_xlfn.XLOOKUP(tblOrdenes[[#This Row],[id_operacion]],tblEjecucion[id_operacion],tblEjecucion[precio],0))</f>
        <v/>
      </c>
      <c r="AJ339" s="11">
        <f>IF(tblOrdenes[[#This Row],[orden]]="","",MAX(0,_xlfn.XLOOKUP(tblOrdenes[[#This Row],[id_operacion]],tblEjecucion[id_operacion],tblEjecucion[costo_plan_total],0)-tblOrdenes[[#This Row],[costo_servicio]]))</f>
        <v/>
      </c>
      <c r="AK339" s="11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3">
        <f>IF(tblOrdenes[[#This Row],[fecha_inicio]]="","",TODAY()-tblOrdenes[[#This Row],[fecha_inicio]])</f>
        <v/>
      </c>
      <c r="AB3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1">
        <f>IF(tblOrdenes[[#This Row],[orden]]="","",_xlfn.XLOOKUP(tblOrdenes[[#This Row],[id_operacion]],tblEjecucion[id_operacion],tblEjecucion[precio],0))</f>
        <v/>
      </c>
      <c r="AJ340" s="11">
        <f>IF(tblOrdenes[[#This Row],[orden]]="","",MAX(0,_xlfn.XLOOKUP(tblOrdenes[[#This Row],[id_operacion]],tblEjecucion[id_operacion],tblEjecucion[costo_plan_total],0)-tblOrdenes[[#This Row],[costo_servicio]]))</f>
        <v/>
      </c>
      <c r="AK340" s="11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3">
        <f>IF(tblOrdenes[[#This Row],[fecha_inicio]]="","",TODAY()-tblOrdenes[[#This Row],[fecha_inicio]])</f>
        <v/>
      </c>
      <c r="AB3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1">
        <f>IF(tblOrdenes[[#This Row],[orden]]="","",_xlfn.XLOOKUP(tblOrdenes[[#This Row],[id_operacion]],tblEjecucion[id_operacion],tblEjecucion[precio],0))</f>
        <v/>
      </c>
      <c r="AJ341" s="11">
        <f>IF(tblOrdenes[[#This Row],[orden]]="","",MAX(0,_xlfn.XLOOKUP(tblOrdenes[[#This Row],[id_operacion]],tblEjecucion[id_operacion],tblEjecucion[costo_plan_total],0)-tblOrdenes[[#This Row],[costo_servicio]]))</f>
        <v/>
      </c>
      <c r="AK341" s="11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3">
        <f>IF(tblOrdenes[[#This Row],[fecha_inicio]]="","",TODAY()-tblOrdenes[[#This Row],[fecha_inicio]])</f>
        <v/>
      </c>
      <c r="AB3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1">
        <f>IF(tblOrdenes[[#This Row],[orden]]="","",_xlfn.XLOOKUP(tblOrdenes[[#This Row],[id_operacion]],tblEjecucion[id_operacion],tblEjecucion[precio],0))</f>
        <v/>
      </c>
      <c r="AJ342" s="11">
        <f>IF(tblOrdenes[[#This Row],[orden]]="","",MAX(0,_xlfn.XLOOKUP(tblOrdenes[[#This Row],[id_operacion]],tblEjecucion[id_operacion],tblEjecucion[costo_plan_total],0)-tblOrdenes[[#This Row],[costo_servicio]]))</f>
        <v/>
      </c>
      <c r="AK342" s="11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3">
        <f>IF(tblOrdenes[[#This Row],[fecha_inicio]]="","",TODAY()-tblOrdenes[[#This Row],[fecha_inicio]])</f>
        <v/>
      </c>
      <c r="AB3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1">
        <f>IF(tblOrdenes[[#This Row],[orden]]="","",_xlfn.XLOOKUP(tblOrdenes[[#This Row],[id_operacion]],tblEjecucion[id_operacion],tblEjecucion[precio],0))</f>
        <v/>
      </c>
      <c r="AJ343" s="11">
        <f>IF(tblOrdenes[[#This Row],[orden]]="","",MAX(0,_xlfn.XLOOKUP(tblOrdenes[[#This Row],[id_operacion]],tblEjecucion[id_operacion],tblEjecucion[costo_plan_total],0)-tblOrdenes[[#This Row],[costo_servicio]]))</f>
        <v/>
      </c>
      <c r="AK343" s="11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3">
        <f>IF(tblOrdenes[[#This Row],[fecha_inicio]]="","",TODAY()-tblOrdenes[[#This Row],[fecha_inicio]])</f>
        <v/>
      </c>
      <c r="AB3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1">
        <f>IF(tblOrdenes[[#This Row],[orden]]="","",_xlfn.XLOOKUP(tblOrdenes[[#This Row],[id_operacion]],tblEjecucion[id_operacion],tblEjecucion[precio],0))</f>
        <v/>
      </c>
      <c r="AJ344" s="11">
        <f>IF(tblOrdenes[[#This Row],[orden]]="","",MAX(0,_xlfn.XLOOKUP(tblOrdenes[[#This Row],[id_operacion]],tblEjecucion[id_operacion],tblEjecucion[costo_plan_total],0)-tblOrdenes[[#This Row],[costo_servicio]]))</f>
        <v/>
      </c>
      <c r="AK344" s="11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3">
        <f>IF(tblOrdenes[[#This Row],[fecha_inicio]]="","",TODAY()-tblOrdenes[[#This Row],[fecha_inicio]])</f>
        <v/>
      </c>
      <c r="AB3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1">
        <f>IF(tblOrdenes[[#This Row],[orden]]="","",_xlfn.XLOOKUP(tblOrdenes[[#This Row],[id_operacion]],tblEjecucion[id_operacion],tblEjecucion[precio],0))</f>
        <v/>
      </c>
      <c r="AJ345" s="11">
        <f>IF(tblOrdenes[[#This Row],[orden]]="","",MAX(0,_xlfn.XLOOKUP(tblOrdenes[[#This Row],[id_operacion]],tblEjecucion[id_operacion],tblEjecucion[costo_plan_total],0)-tblOrdenes[[#This Row],[costo_servicio]]))</f>
        <v/>
      </c>
      <c r="AK345" s="11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3">
        <f>IF(tblOrdenes[[#This Row],[fecha_inicio]]="","",TODAY()-tblOrdenes[[#This Row],[fecha_inicio]])</f>
        <v/>
      </c>
      <c r="AB3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1">
        <f>IF(tblOrdenes[[#This Row],[orden]]="","",_xlfn.XLOOKUP(tblOrdenes[[#This Row],[id_operacion]],tblEjecucion[id_operacion],tblEjecucion[precio],0))</f>
        <v/>
      </c>
      <c r="AJ346" s="11">
        <f>IF(tblOrdenes[[#This Row],[orden]]="","",MAX(0,_xlfn.XLOOKUP(tblOrdenes[[#This Row],[id_operacion]],tblEjecucion[id_operacion],tblEjecucion[costo_plan_total],0)-tblOrdenes[[#This Row],[costo_servicio]]))</f>
        <v/>
      </c>
      <c r="AK346" s="11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3">
        <f>IF(tblOrdenes[[#This Row],[fecha_inicio]]="","",TODAY()-tblOrdenes[[#This Row],[fecha_inicio]])</f>
        <v/>
      </c>
      <c r="AB3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1">
        <f>IF(tblOrdenes[[#This Row],[orden]]="","",_xlfn.XLOOKUP(tblOrdenes[[#This Row],[id_operacion]],tblEjecucion[id_operacion],tblEjecucion[precio],0))</f>
        <v/>
      </c>
      <c r="AJ347" s="11">
        <f>IF(tblOrdenes[[#This Row],[orden]]="","",MAX(0,_xlfn.XLOOKUP(tblOrdenes[[#This Row],[id_operacion]],tblEjecucion[id_operacion],tblEjecucion[costo_plan_total],0)-tblOrdenes[[#This Row],[costo_servicio]]))</f>
        <v/>
      </c>
      <c r="AK347" s="11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3">
        <f>IF(tblOrdenes[[#This Row],[fecha_inicio]]="","",TODAY()-tblOrdenes[[#This Row],[fecha_inicio]])</f>
        <v/>
      </c>
      <c r="AB3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1">
        <f>IF(tblOrdenes[[#This Row],[orden]]="","",_xlfn.XLOOKUP(tblOrdenes[[#This Row],[id_operacion]],tblEjecucion[id_operacion],tblEjecucion[precio],0))</f>
        <v/>
      </c>
      <c r="AJ348" s="11">
        <f>IF(tblOrdenes[[#This Row],[orden]]="","",MAX(0,_xlfn.XLOOKUP(tblOrdenes[[#This Row],[id_operacion]],tblEjecucion[id_operacion],tblEjecucion[costo_plan_total],0)-tblOrdenes[[#This Row],[costo_servicio]]))</f>
        <v/>
      </c>
      <c r="AK348" s="11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3">
        <f>IF(tblOrdenes[[#This Row],[fecha_inicio]]="","",TODAY()-tblOrdenes[[#This Row],[fecha_inicio]])</f>
        <v/>
      </c>
      <c r="AB3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1">
        <f>IF(tblOrdenes[[#This Row],[orden]]="","",_xlfn.XLOOKUP(tblOrdenes[[#This Row],[id_operacion]],tblEjecucion[id_operacion],tblEjecucion[precio],0))</f>
        <v/>
      </c>
      <c r="AJ349" s="11">
        <f>IF(tblOrdenes[[#This Row],[orden]]="","",MAX(0,_xlfn.XLOOKUP(tblOrdenes[[#This Row],[id_operacion]],tblEjecucion[id_operacion],tblEjecucion[costo_plan_total],0)-tblOrdenes[[#This Row],[costo_servicio]]))</f>
        <v/>
      </c>
      <c r="AK349" s="11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3">
        <f>IF(tblOrdenes[[#This Row],[fecha_inicio]]="","",TODAY()-tblOrdenes[[#This Row],[fecha_inicio]])</f>
        <v/>
      </c>
      <c r="AB3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1">
        <f>IF(tblOrdenes[[#This Row],[orden]]="","",_xlfn.XLOOKUP(tblOrdenes[[#This Row],[id_operacion]],tblEjecucion[id_operacion],tblEjecucion[precio],0))</f>
        <v/>
      </c>
      <c r="AJ350" s="11">
        <f>IF(tblOrdenes[[#This Row],[orden]]="","",MAX(0,_xlfn.XLOOKUP(tblOrdenes[[#This Row],[id_operacion]],tblEjecucion[id_operacion],tblEjecucion[costo_plan_total],0)-tblOrdenes[[#This Row],[costo_servicio]]))</f>
        <v/>
      </c>
      <c r="AK350" s="11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3">
        <f>IF(tblOrdenes[[#This Row],[fecha_inicio]]="","",TODAY()-tblOrdenes[[#This Row],[fecha_inicio]])</f>
        <v/>
      </c>
      <c r="AB3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1">
        <f>IF(tblOrdenes[[#This Row],[orden]]="","",_xlfn.XLOOKUP(tblOrdenes[[#This Row],[id_operacion]],tblEjecucion[id_operacion],tblEjecucion[precio],0))</f>
        <v/>
      </c>
      <c r="AJ351" s="11">
        <f>IF(tblOrdenes[[#This Row],[orden]]="","",MAX(0,_xlfn.XLOOKUP(tblOrdenes[[#This Row],[id_operacion]],tblEjecucion[id_operacion],tblEjecucion[costo_plan_total],0)-tblOrdenes[[#This Row],[costo_servicio]]))</f>
        <v/>
      </c>
      <c r="AK351" s="11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3">
        <f>IF(tblOrdenes[[#This Row],[fecha_inicio]]="","",TODAY()-tblOrdenes[[#This Row],[fecha_inicio]])</f>
        <v/>
      </c>
      <c r="AB3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1">
        <f>IF(tblOrdenes[[#This Row],[orden]]="","",_xlfn.XLOOKUP(tblOrdenes[[#This Row],[id_operacion]],tblEjecucion[id_operacion],tblEjecucion[precio],0))</f>
        <v/>
      </c>
      <c r="AJ352" s="11">
        <f>IF(tblOrdenes[[#This Row],[orden]]="","",MAX(0,_xlfn.XLOOKUP(tblOrdenes[[#This Row],[id_operacion]],tblEjecucion[id_operacion],tblEjecucion[costo_plan_total],0)-tblOrdenes[[#This Row],[costo_servicio]]))</f>
        <v/>
      </c>
      <c r="AK352" s="11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3">
        <f>IF(tblOrdenes[[#This Row],[fecha_inicio]]="","",TODAY()-tblOrdenes[[#This Row],[fecha_inicio]])</f>
        <v/>
      </c>
      <c r="AB3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1">
        <f>IF(tblOrdenes[[#This Row],[orden]]="","",_xlfn.XLOOKUP(tblOrdenes[[#This Row],[id_operacion]],tblEjecucion[id_operacion],tblEjecucion[precio],0))</f>
        <v/>
      </c>
      <c r="AJ353" s="11">
        <f>IF(tblOrdenes[[#This Row],[orden]]="","",MAX(0,_xlfn.XLOOKUP(tblOrdenes[[#This Row],[id_operacion]],tblEjecucion[id_operacion],tblEjecucion[costo_plan_total],0)-tblOrdenes[[#This Row],[costo_servicio]]))</f>
        <v/>
      </c>
      <c r="AK353" s="11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3">
        <f>IF(tblOrdenes[[#This Row],[fecha_inicio]]="","",TODAY()-tblOrdenes[[#This Row],[fecha_inicio]])</f>
        <v/>
      </c>
      <c r="AB3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1">
        <f>IF(tblOrdenes[[#This Row],[orden]]="","",_xlfn.XLOOKUP(tblOrdenes[[#This Row],[id_operacion]],tblEjecucion[id_operacion],tblEjecucion[precio],0))</f>
        <v/>
      </c>
      <c r="AJ354" s="11">
        <f>IF(tblOrdenes[[#This Row],[orden]]="","",MAX(0,_xlfn.XLOOKUP(tblOrdenes[[#This Row],[id_operacion]],tblEjecucion[id_operacion],tblEjecucion[costo_plan_total],0)-tblOrdenes[[#This Row],[costo_servicio]]))</f>
        <v/>
      </c>
      <c r="AK354" s="11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3">
        <f>IF(tblOrdenes[[#This Row],[fecha_inicio]]="","",TODAY()-tblOrdenes[[#This Row],[fecha_inicio]])</f>
        <v/>
      </c>
      <c r="AB3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1">
        <f>IF(tblOrdenes[[#This Row],[orden]]="","",_xlfn.XLOOKUP(tblOrdenes[[#This Row],[id_operacion]],tblEjecucion[id_operacion],tblEjecucion[precio],0))</f>
        <v/>
      </c>
      <c r="AJ355" s="11">
        <f>IF(tblOrdenes[[#This Row],[orden]]="","",MAX(0,_xlfn.XLOOKUP(tblOrdenes[[#This Row],[id_operacion]],tblEjecucion[id_operacion],tblEjecucion[costo_plan_total],0)-tblOrdenes[[#This Row],[costo_servicio]]))</f>
        <v/>
      </c>
      <c r="AK355" s="11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3">
        <f>IF(tblOrdenes[[#This Row],[fecha_inicio]]="","",TODAY()-tblOrdenes[[#This Row],[fecha_inicio]])</f>
        <v/>
      </c>
      <c r="AB3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1">
        <f>IF(tblOrdenes[[#This Row],[orden]]="","",_xlfn.XLOOKUP(tblOrdenes[[#This Row],[id_operacion]],tblEjecucion[id_operacion],tblEjecucion[precio],0))</f>
        <v/>
      </c>
      <c r="AJ356" s="11">
        <f>IF(tblOrdenes[[#This Row],[orden]]="","",MAX(0,_xlfn.XLOOKUP(tblOrdenes[[#This Row],[id_operacion]],tblEjecucion[id_operacion],tblEjecucion[costo_plan_total],0)-tblOrdenes[[#This Row],[costo_servicio]]))</f>
        <v/>
      </c>
      <c r="AK356" s="11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3">
        <f>IF(tblOrdenes[[#This Row],[fecha_inicio]]="","",TODAY()-tblOrdenes[[#This Row],[fecha_inicio]])</f>
        <v/>
      </c>
      <c r="AB3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1">
        <f>IF(tblOrdenes[[#This Row],[orden]]="","",_xlfn.XLOOKUP(tblOrdenes[[#This Row],[id_operacion]],tblEjecucion[id_operacion],tblEjecucion[precio],0))</f>
        <v/>
      </c>
      <c r="AJ357" s="11">
        <f>IF(tblOrdenes[[#This Row],[orden]]="","",MAX(0,_xlfn.XLOOKUP(tblOrdenes[[#This Row],[id_operacion]],tblEjecucion[id_operacion],tblEjecucion[costo_plan_total],0)-tblOrdenes[[#This Row],[costo_servicio]]))</f>
        <v/>
      </c>
      <c r="AK357" s="11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3">
        <f>IF(tblOrdenes[[#This Row],[fecha_inicio]]="","",TODAY()-tblOrdenes[[#This Row],[fecha_inicio]])</f>
        <v/>
      </c>
      <c r="AB3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1">
        <f>IF(tblOrdenes[[#This Row],[orden]]="","",_xlfn.XLOOKUP(tblOrdenes[[#This Row],[id_operacion]],tblEjecucion[id_operacion],tblEjecucion[precio],0))</f>
        <v/>
      </c>
      <c r="AJ358" s="11">
        <f>IF(tblOrdenes[[#This Row],[orden]]="","",MAX(0,_xlfn.XLOOKUP(tblOrdenes[[#This Row],[id_operacion]],tblEjecucion[id_operacion],tblEjecucion[costo_plan_total],0)-tblOrdenes[[#This Row],[costo_servicio]]))</f>
        <v/>
      </c>
      <c r="AK358" s="11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3">
        <f>IF(tblOrdenes[[#This Row],[fecha_inicio]]="","",TODAY()-tblOrdenes[[#This Row],[fecha_inicio]])</f>
        <v/>
      </c>
      <c r="AB3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1">
        <f>IF(tblOrdenes[[#This Row],[orden]]="","",_xlfn.XLOOKUP(tblOrdenes[[#This Row],[id_operacion]],tblEjecucion[id_operacion],tblEjecucion[precio],0))</f>
        <v/>
      </c>
      <c r="AJ359" s="11">
        <f>IF(tblOrdenes[[#This Row],[orden]]="","",MAX(0,_xlfn.XLOOKUP(tblOrdenes[[#This Row],[id_operacion]],tblEjecucion[id_operacion],tblEjecucion[costo_plan_total],0)-tblOrdenes[[#This Row],[costo_servicio]]))</f>
        <v/>
      </c>
      <c r="AK359" s="11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3">
        <f>IF(tblOrdenes[[#This Row],[fecha_inicio]]="","",TODAY()-tblOrdenes[[#This Row],[fecha_inicio]])</f>
        <v/>
      </c>
      <c r="AB3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1">
        <f>IF(tblOrdenes[[#This Row],[orden]]="","",_xlfn.XLOOKUP(tblOrdenes[[#This Row],[id_operacion]],tblEjecucion[id_operacion],tblEjecucion[precio],0))</f>
        <v/>
      </c>
      <c r="AJ360" s="11">
        <f>IF(tblOrdenes[[#This Row],[orden]]="","",MAX(0,_xlfn.XLOOKUP(tblOrdenes[[#This Row],[id_operacion]],tblEjecucion[id_operacion],tblEjecucion[costo_plan_total],0)-tblOrdenes[[#This Row],[costo_servicio]]))</f>
        <v/>
      </c>
      <c r="AK360" s="11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3">
        <f>IF(tblOrdenes[[#This Row],[fecha_inicio]]="","",TODAY()-tblOrdenes[[#This Row],[fecha_inicio]])</f>
        <v/>
      </c>
      <c r="AB3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1">
        <f>IF(tblOrdenes[[#This Row],[orden]]="","",_xlfn.XLOOKUP(tblOrdenes[[#This Row],[id_operacion]],tblEjecucion[id_operacion],tblEjecucion[precio],0))</f>
        <v/>
      </c>
      <c r="AJ361" s="11">
        <f>IF(tblOrdenes[[#This Row],[orden]]="","",MAX(0,_xlfn.XLOOKUP(tblOrdenes[[#This Row],[id_operacion]],tblEjecucion[id_operacion],tblEjecucion[costo_plan_total],0)-tblOrdenes[[#This Row],[costo_servicio]]))</f>
        <v/>
      </c>
      <c r="AK361" s="11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3">
        <f>IF(tblOrdenes[[#This Row],[fecha_inicio]]="","",TODAY()-tblOrdenes[[#This Row],[fecha_inicio]])</f>
        <v/>
      </c>
      <c r="AB3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1">
        <f>IF(tblOrdenes[[#This Row],[orden]]="","",_xlfn.XLOOKUP(tblOrdenes[[#This Row],[id_operacion]],tblEjecucion[id_operacion],tblEjecucion[precio],0))</f>
        <v/>
      </c>
      <c r="AJ362" s="11">
        <f>IF(tblOrdenes[[#This Row],[orden]]="","",MAX(0,_xlfn.XLOOKUP(tblOrdenes[[#This Row],[id_operacion]],tblEjecucion[id_operacion],tblEjecucion[costo_plan_total],0)-tblOrdenes[[#This Row],[costo_servicio]]))</f>
        <v/>
      </c>
      <c r="AK362" s="11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3">
        <f>IF(tblOrdenes[[#This Row],[fecha_inicio]]="","",TODAY()-tblOrdenes[[#This Row],[fecha_inicio]])</f>
        <v/>
      </c>
      <c r="AB3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1">
        <f>IF(tblOrdenes[[#This Row],[orden]]="","",_xlfn.XLOOKUP(tblOrdenes[[#This Row],[id_operacion]],tblEjecucion[id_operacion],tblEjecucion[precio],0))</f>
        <v/>
      </c>
      <c r="AJ363" s="11">
        <f>IF(tblOrdenes[[#This Row],[orden]]="","",MAX(0,_xlfn.XLOOKUP(tblOrdenes[[#This Row],[id_operacion]],tblEjecucion[id_operacion],tblEjecucion[costo_plan_total],0)-tblOrdenes[[#This Row],[costo_servicio]]))</f>
        <v/>
      </c>
      <c r="AK363" s="11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3">
        <f>IF(tblOrdenes[[#This Row],[fecha_inicio]]="","",TODAY()-tblOrdenes[[#This Row],[fecha_inicio]])</f>
        <v/>
      </c>
      <c r="AB3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1">
        <f>IF(tblOrdenes[[#This Row],[orden]]="","",_xlfn.XLOOKUP(tblOrdenes[[#This Row],[id_operacion]],tblEjecucion[id_operacion],tblEjecucion[precio],0))</f>
        <v/>
      </c>
      <c r="AJ364" s="11">
        <f>IF(tblOrdenes[[#This Row],[orden]]="","",MAX(0,_xlfn.XLOOKUP(tblOrdenes[[#This Row],[id_operacion]],tblEjecucion[id_operacion],tblEjecucion[costo_plan_total],0)-tblOrdenes[[#This Row],[costo_servicio]]))</f>
        <v/>
      </c>
      <c r="AK364" s="11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3">
        <f>IF(tblOrdenes[[#This Row],[fecha_inicio]]="","",TODAY()-tblOrdenes[[#This Row],[fecha_inicio]])</f>
        <v/>
      </c>
      <c r="AB3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1">
        <f>IF(tblOrdenes[[#This Row],[orden]]="","",_xlfn.XLOOKUP(tblOrdenes[[#This Row],[id_operacion]],tblEjecucion[id_operacion],tblEjecucion[precio],0))</f>
        <v/>
      </c>
      <c r="AJ365" s="11">
        <f>IF(tblOrdenes[[#This Row],[orden]]="","",MAX(0,_xlfn.XLOOKUP(tblOrdenes[[#This Row],[id_operacion]],tblEjecucion[id_operacion],tblEjecucion[costo_plan_total],0)-tblOrdenes[[#This Row],[costo_servicio]]))</f>
        <v/>
      </c>
      <c r="AK365" s="11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3">
        <f>IF(tblOrdenes[[#This Row],[fecha_inicio]]="","",TODAY()-tblOrdenes[[#This Row],[fecha_inicio]])</f>
        <v/>
      </c>
      <c r="AB3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1">
        <f>IF(tblOrdenes[[#This Row],[orden]]="","",_xlfn.XLOOKUP(tblOrdenes[[#This Row],[id_operacion]],tblEjecucion[id_operacion],tblEjecucion[precio],0))</f>
        <v/>
      </c>
      <c r="AJ366" s="11">
        <f>IF(tblOrdenes[[#This Row],[orden]]="","",MAX(0,_xlfn.XLOOKUP(tblOrdenes[[#This Row],[id_operacion]],tblEjecucion[id_operacion],tblEjecucion[costo_plan_total],0)-tblOrdenes[[#This Row],[costo_servicio]]))</f>
        <v/>
      </c>
      <c r="AK366" s="11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3">
        <f>IF(tblOrdenes[[#This Row],[fecha_inicio]]="","",TODAY()-tblOrdenes[[#This Row],[fecha_inicio]])</f>
        <v/>
      </c>
      <c r="AB3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1">
        <f>IF(tblOrdenes[[#This Row],[orden]]="","",_xlfn.XLOOKUP(tblOrdenes[[#This Row],[id_operacion]],tblEjecucion[id_operacion],tblEjecucion[precio],0))</f>
        <v/>
      </c>
      <c r="AJ367" s="11">
        <f>IF(tblOrdenes[[#This Row],[orden]]="","",MAX(0,_xlfn.XLOOKUP(tblOrdenes[[#This Row],[id_operacion]],tblEjecucion[id_operacion],tblEjecucion[costo_plan_total],0)-tblOrdenes[[#This Row],[costo_servicio]]))</f>
        <v/>
      </c>
      <c r="AK367" s="11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3">
        <f>IF(tblOrdenes[[#This Row],[fecha_inicio]]="","",TODAY()-tblOrdenes[[#This Row],[fecha_inicio]])</f>
        <v/>
      </c>
      <c r="AB3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1">
        <f>IF(tblOrdenes[[#This Row],[orden]]="","",_xlfn.XLOOKUP(tblOrdenes[[#This Row],[id_operacion]],tblEjecucion[id_operacion],tblEjecucion[precio],0))</f>
        <v/>
      </c>
      <c r="AJ368" s="11">
        <f>IF(tblOrdenes[[#This Row],[orden]]="","",MAX(0,_xlfn.XLOOKUP(tblOrdenes[[#This Row],[id_operacion]],tblEjecucion[id_operacion],tblEjecucion[costo_plan_total],0)-tblOrdenes[[#This Row],[costo_servicio]]))</f>
        <v/>
      </c>
      <c r="AK368" s="11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3">
        <f>IF(tblOrdenes[[#This Row],[fecha_inicio]]="","",TODAY()-tblOrdenes[[#This Row],[fecha_inicio]])</f>
        <v/>
      </c>
      <c r="AB3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1">
        <f>IF(tblOrdenes[[#This Row],[orden]]="","",_xlfn.XLOOKUP(tblOrdenes[[#This Row],[id_operacion]],tblEjecucion[id_operacion],tblEjecucion[precio],0))</f>
        <v/>
      </c>
      <c r="AJ369" s="11">
        <f>IF(tblOrdenes[[#This Row],[orden]]="","",MAX(0,_xlfn.XLOOKUP(tblOrdenes[[#This Row],[id_operacion]],tblEjecucion[id_operacion],tblEjecucion[costo_plan_total],0)-tblOrdenes[[#This Row],[costo_servicio]]))</f>
        <v/>
      </c>
      <c r="AK369" s="11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3">
        <f>IF(tblOrdenes[[#This Row],[fecha_inicio]]="","",TODAY()-tblOrdenes[[#This Row],[fecha_inicio]])</f>
        <v/>
      </c>
      <c r="AB3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1">
        <f>IF(tblOrdenes[[#This Row],[orden]]="","",_xlfn.XLOOKUP(tblOrdenes[[#This Row],[id_operacion]],tblEjecucion[id_operacion],tblEjecucion[precio],0))</f>
        <v/>
      </c>
      <c r="AJ370" s="11">
        <f>IF(tblOrdenes[[#This Row],[orden]]="","",MAX(0,_xlfn.XLOOKUP(tblOrdenes[[#This Row],[id_operacion]],tblEjecucion[id_operacion],tblEjecucion[costo_plan_total],0)-tblOrdenes[[#This Row],[costo_servicio]]))</f>
        <v/>
      </c>
      <c r="AK370" s="11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3">
        <f>IF(tblOrdenes[[#This Row],[fecha_inicio]]="","",TODAY()-tblOrdenes[[#This Row],[fecha_inicio]])</f>
        <v/>
      </c>
      <c r="AB3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1">
        <f>IF(tblOrdenes[[#This Row],[orden]]="","",_xlfn.XLOOKUP(tblOrdenes[[#This Row],[id_operacion]],tblEjecucion[id_operacion],tblEjecucion[precio],0))</f>
        <v/>
      </c>
      <c r="AJ371" s="11">
        <f>IF(tblOrdenes[[#This Row],[orden]]="","",MAX(0,_xlfn.XLOOKUP(tblOrdenes[[#This Row],[id_operacion]],tblEjecucion[id_operacion],tblEjecucion[costo_plan_total],0)-tblOrdenes[[#This Row],[costo_servicio]]))</f>
        <v/>
      </c>
      <c r="AK371" s="11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3">
        <f>IF(tblOrdenes[[#This Row],[fecha_inicio]]="","",TODAY()-tblOrdenes[[#This Row],[fecha_inicio]])</f>
        <v/>
      </c>
      <c r="AB3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1">
        <f>IF(tblOrdenes[[#This Row],[orden]]="","",_xlfn.XLOOKUP(tblOrdenes[[#This Row],[id_operacion]],tblEjecucion[id_operacion],tblEjecucion[precio],0))</f>
        <v/>
      </c>
      <c r="AJ372" s="11">
        <f>IF(tblOrdenes[[#This Row],[orden]]="","",MAX(0,_xlfn.XLOOKUP(tblOrdenes[[#This Row],[id_operacion]],tblEjecucion[id_operacion],tblEjecucion[costo_plan_total],0)-tblOrdenes[[#This Row],[costo_servicio]]))</f>
        <v/>
      </c>
      <c r="AK372" s="11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3">
        <f>IF(tblOrdenes[[#This Row],[fecha_inicio]]="","",TODAY()-tblOrdenes[[#This Row],[fecha_inicio]])</f>
        <v/>
      </c>
      <c r="AB3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1">
        <f>IF(tblOrdenes[[#This Row],[orden]]="","",_xlfn.XLOOKUP(tblOrdenes[[#This Row],[id_operacion]],tblEjecucion[id_operacion],tblEjecucion[precio],0))</f>
        <v/>
      </c>
      <c r="AJ373" s="11">
        <f>IF(tblOrdenes[[#This Row],[orden]]="","",MAX(0,_xlfn.XLOOKUP(tblOrdenes[[#This Row],[id_operacion]],tblEjecucion[id_operacion],tblEjecucion[costo_plan_total],0)-tblOrdenes[[#This Row],[costo_servicio]]))</f>
        <v/>
      </c>
      <c r="AK373" s="11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3">
        <f>IF(tblOrdenes[[#This Row],[fecha_inicio]]="","",TODAY()-tblOrdenes[[#This Row],[fecha_inicio]])</f>
        <v/>
      </c>
      <c r="AB3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1">
        <f>IF(tblOrdenes[[#This Row],[orden]]="","",_xlfn.XLOOKUP(tblOrdenes[[#This Row],[id_operacion]],tblEjecucion[id_operacion],tblEjecucion[precio],0))</f>
        <v/>
      </c>
      <c r="AJ374" s="11">
        <f>IF(tblOrdenes[[#This Row],[orden]]="","",MAX(0,_xlfn.XLOOKUP(tblOrdenes[[#This Row],[id_operacion]],tblEjecucion[id_operacion],tblEjecucion[costo_plan_total],0)-tblOrdenes[[#This Row],[costo_servicio]]))</f>
        <v/>
      </c>
      <c r="AK374" s="11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3">
        <f>IF(tblOrdenes[[#This Row],[fecha_inicio]]="","",TODAY()-tblOrdenes[[#This Row],[fecha_inicio]])</f>
        <v/>
      </c>
      <c r="AB3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1">
        <f>IF(tblOrdenes[[#This Row],[orden]]="","",_xlfn.XLOOKUP(tblOrdenes[[#This Row],[id_operacion]],tblEjecucion[id_operacion],tblEjecucion[precio],0))</f>
        <v/>
      </c>
      <c r="AJ375" s="11">
        <f>IF(tblOrdenes[[#This Row],[orden]]="","",MAX(0,_xlfn.XLOOKUP(tblOrdenes[[#This Row],[id_operacion]],tblEjecucion[id_operacion],tblEjecucion[costo_plan_total],0)-tblOrdenes[[#This Row],[costo_servicio]]))</f>
        <v/>
      </c>
      <c r="AK375" s="11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3">
        <f>IF(tblOrdenes[[#This Row],[fecha_inicio]]="","",TODAY()-tblOrdenes[[#This Row],[fecha_inicio]])</f>
        <v/>
      </c>
      <c r="AB3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1">
        <f>IF(tblOrdenes[[#This Row],[orden]]="","",_xlfn.XLOOKUP(tblOrdenes[[#This Row],[id_operacion]],tblEjecucion[id_operacion],tblEjecucion[precio],0))</f>
        <v/>
      </c>
      <c r="AJ376" s="11">
        <f>IF(tblOrdenes[[#This Row],[orden]]="","",MAX(0,_xlfn.XLOOKUP(tblOrdenes[[#This Row],[id_operacion]],tblEjecucion[id_operacion],tblEjecucion[costo_plan_total],0)-tblOrdenes[[#This Row],[costo_servicio]]))</f>
        <v/>
      </c>
      <c r="AK376" s="11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3">
        <f>IF(tblOrdenes[[#This Row],[fecha_inicio]]="","",TODAY()-tblOrdenes[[#This Row],[fecha_inicio]])</f>
        <v/>
      </c>
      <c r="AB3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1">
        <f>IF(tblOrdenes[[#This Row],[orden]]="","",_xlfn.XLOOKUP(tblOrdenes[[#This Row],[id_operacion]],tblEjecucion[id_operacion],tblEjecucion[precio],0))</f>
        <v/>
      </c>
      <c r="AJ377" s="11">
        <f>IF(tblOrdenes[[#This Row],[orden]]="","",MAX(0,_xlfn.XLOOKUP(tblOrdenes[[#This Row],[id_operacion]],tblEjecucion[id_operacion],tblEjecucion[costo_plan_total],0)-tblOrdenes[[#This Row],[costo_servicio]]))</f>
        <v/>
      </c>
      <c r="AK377" s="11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3">
        <f>IF(tblOrdenes[[#This Row],[fecha_inicio]]="","",TODAY()-tblOrdenes[[#This Row],[fecha_inicio]])</f>
        <v/>
      </c>
      <c r="AB3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1">
        <f>IF(tblOrdenes[[#This Row],[orden]]="","",_xlfn.XLOOKUP(tblOrdenes[[#This Row],[id_operacion]],tblEjecucion[id_operacion],tblEjecucion[precio],0))</f>
        <v/>
      </c>
      <c r="AJ378" s="11">
        <f>IF(tblOrdenes[[#This Row],[orden]]="","",MAX(0,_xlfn.XLOOKUP(tblOrdenes[[#This Row],[id_operacion]],tblEjecucion[id_operacion],tblEjecucion[costo_plan_total],0)-tblOrdenes[[#This Row],[costo_servicio]]))</f>
        <v/>
      </c>
      <c r="AK378" s="11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3">
        <f>IF(tblOrdenes[[#This Row],[fecha_inicio]]="","",TODAY()-tblOrdenes[[#This Row],[fecha_inicio]])</f>
        <v/>
      </c>
      <c r="AB3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1">
        <f>IF(tblOrdenes[[#This Row],[orden]]="","",_xlfn.XLOOKUP(tblOrdenes[[#This Row],[id_operacion]],tblEjecucion[id_operacion],tblEjecucion[precio],0))</f>
        <v/>
      </c>
      <c r="AJ379" s="11">
        <f>IF(tblOrdenes[[#This Row],[orden]]="","",MAX(0,_xlfn.XLOOKUP(tblOrdenes[[#This Row],[id_operacion]],tblEjecucion[id_operacion],tblEjecucion[costo_plan_total],0)-tblOrdenes[[#This Row],[costo_servicio]]))</f>
        <v/>
      </c>
      <c r="AK379" s="11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3">
        <f>IF(tblOrdenes[[#This Row],[fecha_inicio]]="","",TODAY()-tblOrdenes[[#This Row],[fecha_inicio]])</f>
        <v/>
      </c>
      <c r="AB3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1">
        <f>IF(tblOrdenes[[#This Row],[orden]]="","",_xlfn.XLOOKUP(tblOrdenes[[#This Row],[id_operacion]],tblEjecucion[id_operacion],tblEjecucion[precio],0))</f>
        <v/>
      </c>
      <c r="AJ380" s="11">
        <f>IF(tblOrdenes[[#This Row],[orden]]="","",MAX(0,_xlfn.XLOOKUP(tblOrdenes[[#This Row],[id_operacion]],tblEjecucion[id_operacion],tblEjecucion[costo_plan_total],0)-tblOrdenes[[#This Row],[costo_servicio]]))</f>
        <v/>
      </c>
      <c r="AK380" s="11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3">
        <f>IF(tblOrdenes[[#This Row],[fecha_inicio]]="","",TODAY()-tblOrdenes[[#This Row],[fecha_inicio]])</f>
        <v/>
      </c>
      <c r="AB3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1">
        <f>IF(tblOrdenes[[#This Row],[orden]]="","",_xlfn.XLOOKUP(tblOrdenes[[#This Row],[id_operacion]],tblEjecucion[id_operacion],tblEjecucion[precio],0))</f>
        <v/>
      </c>
      <c r="AJ381" s="11">
        <f>IF(tblOrdenes[[#This Row],[orden]]="","",MAX(0,_xlfn.XLOOKUP(tblOrdenes[[#This Row],[id_operacion]],tblEjecucion[id_operacion],tblEjecucion[costo_plan_total],0)-tblOrdenes[[#This Row],[costo_servicio]]))</f>
        <v/>
      </c>
      <c r="AK381" s="11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3">
        <f>IF(tblOrdenes[[#This Row],[fecha_inicio]]="","",TODAY()-tblOrdenes[[#This Row],[fecha_inicio]])</f>
        <v/>
      </c>
      <c r="AB3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1">
        <f>IF(tblOrdenes[[#This Row],[orden]]="","",_xlfn.XLOOKUP(tblOrdenes[[#This Row],[id_operacion]],tblEjecucion[id_operacion],tblEjecucion[precio],0))</f>
        <v/>
      </c>
      <c r="AJ382" s="11">
        <f>IF(tblOrdenes[[#This Row],[orden]]="","",MAX(0,_xlfn.XLOOKUP(tblOrdenes[[#This Row],[id_operacion]],tblEjecucion[id_operacion],tblEjecucion[costo_plan_total],0)-tblOrdenes[[#This Row],[costo_servicio]]))</f>
        <v/>
      </c>
      <c r="AK382" s="11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3">
        <f>IF(tblOrdenes[[#This Row],[fecha_inicio]]="","",TODAY()-tblOrdenes[[#This Row],[fecha_inicio]])</f>
        <v/>
      </c>
      <c r="AB3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1">
        <f>IF(tblOrdenes[[#This Row],[orden]]="","",_xlfn.XLOOKUP(tblOrdenes[[#This Row],[id_operacion]],tblEjecucion[id_operacion],tblEjecucion[precio],0))</f>
        <v/>
      </c>
      <c r="AJ383" s="11">
        <f>IF(tblOrdenes[[#This Row],[orden]]="","",MAX(0,_xlfn.XLOOKUP(tblOrdenes[[#This Row],[id_operacion]],tblEjecucion[id_operacion],tblEjecucion[costo_plan_total],0)-tblOrdenes[[#This Row],[costo_servicio]]))</f>
        <v/>
      </c>
      <c r="AK383" s="11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3">
        <f>IF(tblOrdenes[[#This Row],[fecha_inicio]]="","",TODAY()-tblOrdenes[[#This Row],[fecha_inicio]])</f>
        <v/>
      </c>
      <c r="AB3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1">
        <f>IF(tblOrdenes[[#This Row],[orden]]="","",_xlfn.XLOOKUP(tblOrdenes[[#This Row],[id_operacion]],tblEjecucion[id_operacion],tblEjecucion[precio],0))</f>
        <v/>
      </c>
      <c r="AJ384" s="11">
        <f>IF(tblOrdenes[[#This Row],[orden]]="","",MAX(0,_xlfn.XLOOKUP(tblOrdenes[[#This Row],[id_operacion]],tblEjecucion[id_operacion],tblEjecucion[costo_plan_total],0)-tblOrdenes[[#This Row],[costo_servicio]]))</f>
        <v/>
      </c>
      <c r="AK384" s="11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3">
        <f>IF(tblOrdenes[[#This Row],[fecha_inicio]]="","",TODAY()-tblOrdenes[[#This Row],[fecha_inicio]])</f>
        <v/>
      </c>
      <c r="AB3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1">
        <f>IF(tblOrdenes[[#This Row],[orden]]="","",_xlfn.XLOOKUP(tblOrdenes[[#This Row],[id_operacion]],tblEjecucion[id_operacion],tblEjecucion[precio],0))</f>
        <v/>
      </c>
      <c r="AJ385" s="11">
        <f>IF(tblOrdenes[[#This Row],[orden]]="","",MAX(0,_xlfn.XLOOKUP(tblOrdenes[[#This Row],[id_operacion]],tblEjecucion[id_operacion],tblEjecucion[costo_plan_total],0)-tblOrdenes[[#This Row],[costo_servicio]]))</f>
        <v/>
      </c>
      <c r="AK385" s="11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3">
        <f>IF(tblOrdenes[[#This Row],[fecha_inicio]]="","",TODAY()-tblOrdenes[[#This Row],[fecha_inicio]])</f>
        <v/>
      </c>
      <c r="AB3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1">
        <f>IF(tblOrdenes[[#This Row],[orden]]="","",_xlfn.XLOOKUP(tblOrdenes[[#This Row],[id_operacion]],tblEjecucion[id_operacion],tblEjecucion[precio],0))</f>
        <v/>
      </c>
      <c r="AJ386" s="11">
        <f>IF(tblOrdenes[[#This Row],[orden]]="","",MAX(0,_xlfn.XLOOKUP(tblOrdenes[[#This Row],[id_operacion]],tblEjecucion[id_operacion],tblEjecucion[costo_plan_total],0)-tblOrdenes[[#This Row],[costo_servicio]]))</f>
        <v/>
      </c>
      <c r="AK386" s="11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3">
        <f>IF(tblOrdenes[[#This Row],[fecha_inicio]]="","",TODAY()-tblOrdenes[[#This Row],[fecha_inicio]])</f>
        <v/>
      </c>
      <c r="AB3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1">
        <f>IF(tblOrdenes[[#This Row],[orden]]="","",_xlfn.XLOOKUP(tblOrdenes[[#This Row],[id_operacion]],tblEjecucion[id_operacion],tblEjecucion[precio],0))</f>
        <v/>
      </c>
      <c r="AJ387" s="11">
        <f>IF(tblOrdenes[[#This Row],[orden]]="","",MAX(0,_xlfn.XLOOKUP(tblOrdenes[[#This Row],[id_operacion]],tblEjecucion[id_operacion],tblEjecucion[costo_plan_total],0)-tblOrdenes[[#This Row],[costo_servicio]]))</f>
        <v/>
      </c>
      <c r="AK387" s="11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3">
        <f>IF(tblOrdenes[[#This Row],[fecha_inicio]]="","",TODAY()-tblOrdenes[[#This Row],[fecha_inicio]])</f>
        <v/>
      </c>
      <c r="AB3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1">
        <f>IF(tblOrdenes[[#This Row],[orden]]="","",_xlfn.XLOOKUP(tblOrdenes[[#This Row],[id_operacion]],tblEjecucion[id_operacion],tblEjecucion[precio],0))</f>
        <v/>
      </c>
      <c r="AJ388" s="11">
        <f>IF(tblOrdenes[[#This Row],[orden]]="","",MAX(0,_xlfn.XLOOKUP(tblOrdenes[[#This Row],[id_operacion]],tblEjecucion[id_operacion],tblEjecucion[costo_plan_total],0)-tblOrdenes[[#This Row],[costo_servicio]]))</f>
        <v/>
      </c>
      <c r="AK388" s="11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3">
        <f>IF(tblOrdenes[[#This Row],[fecha_inicio]]="","",TODAY()-tblOrdenes[[#This Row],[fecha_inicio]])</f>
        <v/>
      </c>
      <c r="AB3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1">
        <f>IF(tblOrdenes[[#This Row],[orden]]="","",_xlfn.XLOOKUP(tblOrdenes[[#This Row],[id_operacion]],tblEjecucion[id_operacion],tblEjecucion[precio],0))</f>
        <v/>
      </c>
      <c r="AJ389" s="11">
        <f>IF(tblOrdenes[[#This Row],[orden]]="","",MAX(0,_xlfn.XLOOKUP(tblOrdenes[[#This Row],[id_operacion]],tblEjecucion[id_operacion],tblEjecucion[costo_plan_total],0)-tblOrdenes[[#This Row],[costo_servicio]]))</f>
        <v/>
      </c>
      <c r="AK389" s="11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3">
        <f>IF(tblOrdenes[[#This Row],[fecha_inicio]]="","",TODAY()-tblOrdenes[[#This Row],[fecha_inicio]])</f>
        <v/>
      </c>
      <c r="AB3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1">
        <f>IF(tblOrdenes[[#This Row],[orden]]="","",_xlfn.XLOOKUP(tblOrdenes[[#This Row],[id_operacion]],tblEjecucion[id_operacion],tblEjecucion[precio],0))</f>
        <v/>
      </c>
      <c r="AJ390" s="11">
        <f>IF(tblOrdenes[[#This Row],[orden]]="","",MAX(0,_xlfn.XLOOKUP(tblOrdenes[[#This Row],[id_operacion]],tblEjecucion[id_operacion],tblEjecucion[costo_plan_total],0)-tblOrdenes[[#This Row],[costo_servicio]]))</f>
        <v/>
      </c>
      <c r="AK390" s="11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3">
        <f>IF(tblOrdenes[[#This Row],[fecha_inicio]]="","",TODAY()-tblOrdenes[[#This Row],[fecha_inicio]])</f>
        <v/>
      </c>
      <c r="AB3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1">
        <f>IF(tblOrdenes[[#This Row],[orden]]="","",_xlfn.XLOOKUP(tblOrdenes[[#This Row],[id_operacion]],tblEjecucion[id_operacion],tblEjecucion[precio],0))</f>
        <v/>
      </c>
      <c r="AJ391" s="11">
        <f>IF(tblOrdenes[[#This Row],[orden]]="","",MAX(0,_xlfn.XLOOKUP(tblOrdenes[[#This Row],[id_operacion]],tblEjecucion[id_operacion],tblEjecucion[costo_plan_total],0)-tblOrdenes[[#This Row],[costo_servicio]]))</f>
        <v/>
      </c>
      <c r="AK391" s="11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3">
        <f>IF(tblOrdenes[[#This Row],[fecha_inicio]]="","",TODAY()-tblOrdenes[[#This Row],[fecha_inicio]])</f>
        <v/>
      </c>
      <c r="AB3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1">
        <f>IF(tblOrdenes[[#This Row],[orden]]="","",_xlfn.XLOOKUP(tblOrdenes[[#This Row],[id_operacion]],tblEjecucion[id_operacion],tblEjecucion[precio],0))</f>
        <v/>
      </c>
      <c r="AJ392" s="11">
        <f>IF(tblOrdenes[[#This Row],[orden]]="","",MAX(0,_xlfn.XLOOKUP(tblOrdenes[[#This Row],[id_operacion]],tblEjecucion[id_operacion],tblEjecucion[costo_plan_total],0)-tblOrdenes[[#This Row],[costo_servicio]]))</f>
        <v/>
      </c>
      <c r="AK392" s="11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3">
        <f>IF(tblOrdenes[[#This Row],[fecha_inicio]]="","",TODAY()-tblOrdenes[[#This Row],[fecha_inicio]])</f>
        <v/>
      </c>
      <c r="AB3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1">
        <f>IF(tblOrdenes[[#This Row],[orden]]="","",_xlfn.XLOOKUP(tblOrdenes[[#This Row],[id_operacion]],tblEjecucion[id_operacion],tblEjecucion[precio],0))</f>
        <v/>
      </c>
      <c r="AJ393" s="11">
        <f>IF(tblOrdenes[[#This Row],[orden]]="","",MAX(0,_xlfn.XLOOKUP(tblOrdenes[[#This Row],[id_operacion]],tblEjecucion[id_operacion],tblEjecucion[costo_plan_total],0)-tblOrdenes[[#This Row],[costo_servicio]]))</f>
        <v/>
      </c>
      <c r="AK393" s="11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3">
        <f>IF(tblOrdenes[[#This Row],[fecha_inicio]]="","",TODAY()-tblOrdenes[[#This Row],[fecha_inicio]])</f>
        <v/>
      </c>
      <c r="AB3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1">
        <f>IF(tblOrdenes[[#This Row],[orden]]="","",_xlfn.XLOOKUP(tblOrdenes[[#This Row],[id_operacion]],tblEjecucion[id_operacion],tblEjecucion[precio],0))</f>
        <v/>
      </c>
      <c r="AJ394" s="11">
        <f>IF(tblOrdenes[[#This Row],[orden]]="","",MAX(0,_xlfn.XLOOKUP(tblOrdenes[[#This Row],[id_operacion]],tblEjecucion[id_operacion],tblEjecucion[costo_plan_total],0)-tblOrdenes[[#This Row],[costo_servicio]]))</f>
        <v/>
      </c>
      <c r="AK394" s="11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3">
        <f>IF(tblOrdenes[[#This Row],[fecha_inicio]]="","",TODAY()-tblOrdenes[[#This Row],[fecha_inicio]])</f>
        <v/>
      </c>
      <c r="AB3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1">
        <f>IF(tblOrdenes[[#This Row],[orden]]="","",_xlfn.XLOOKUP(tblOrdenes[[#This Row],[id_operacion]],tblEjecucion[id_operacion],tblEjecucion[precio],0))</f>
        <v/>
      </c>
      <c r="AJ395" s="11">
        <f>IF(tblOrdenes[[#This Row],[orden]]="","",MAX(0,_xlfn.XLOOKUP(tblOrdenes[[#This Row],[id_operacion]],tblEjecucion[id_operacion],tblEjecucion[costo_plan_total],0)-tblOrdenes[[#This Row],[costo_servicio]]))</f>
        <v/>
      </c>
      <c r="AK395" s="11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3">
        <f>IF(tblOrdenes[[#This Row],[fecha_inicio]]="","",TODAY()-tblOrdenes[[#This Row],[fecha_inicio]])</f>
        <v/>
      </c>
      <c r="AB3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1">
        <f>IF(tblOrdenes[[#This Row],[orden]]="","",_xlfn.XLOOKUP(tblOrdenes[[#This Row],[id_operacion]],tblEjecucion[id_operacion],tblEjecucion[precio],0))</f>
        <v/>
      </c>
      <c r="AJ396" s="11">
        <f>IF(tblOrdenes[[#This Row],[orden]]="","",MAX(0,_xlfn.XLOOKUP(tblOrdenes[[#This Row],[id_operacion]],tblEjecucion[id_operacion],tblEjecucion[costo_plan_total],0)-tblOrdenes[[#This Row],[costo_servicio]]))</f>
        <v/>
      </c>
      <c r="AK396" s="11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3">
        <f>IF(tblOrdenes[[#This Row],[fecha_inicio]]="","",TODAY()-tblOrdenes[[#This Row],[fecha_inicio]])</f>
        <v/>
      </c>
      <c r="AB3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1">
        <f>IF(tblOrdenes[[#This Row],[orden]]="","",_xlfn.XLOOKUP(tblOrdenes[[#This Row],[id_operacion]],tblEjecucion[id_operacion],tblEjecucion[precio],0))</f>
        <v/>
      </c>
      <c r="AJ397" s="11">
        <f>IF(tblOrdenes[[#This Row],[orden]]="","",MAX(0,_xlfn.XLOOKUP(tblOrdenes[[#This Row],[id_operacion]],tblEjecucion[id_operacion],tblEjecucion[costo_plan_total],0)-tblOrdenes[[#This Row],[costo_servicio]]))</f>
        <v/>
      </c>
      <c r="AK397" s="11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3">
        <f>IF(tblOrdenes[[#This Row],[fecha_inicio]]="","",TODAY()-tblOrdenes[[#This Row],[fecha_inicio]])</f>
        <v/>
      </c>
      <c r="AB3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1">
        <f>IF(tblOrdenes[[#This Row],[orden]]="","",_xlfn.XLOOKUP(tblOrdenes[[#This Row],[id_operacion]],tblEjecucion[id_operacion],tblEjecucion[precio],0))</f>
        <v/>
      </c>
      <c r="AJ398" s="11">
        <f>IF(tblOrdenes[[#This Row],[orden]]="","",MAX(0,_xlfn.XLOOKUP(tblOrdenes[[#This Row],[id_operacion]],tblEjecucion[id_operacion],tblEjecucion[costo_plan_total],0)-tblOrdenes[[#This Row],[costo_servicio]]))</f>
        <v/>
      </c>
      <c r="AK398" s="11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3">
        <f>IF(tblOrdenes[[#This Row],[fecha_inicio]]="","",TODAY()-tblOrdenes[[#This Row],[fecha_inicio]])</f>
        <v/>
      </c>
      <c r="AB3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1">
        <f>IF(tblOrdenes[[#This Row],[orden]]="","",_xlfn.XLOOKUP(tblOrdenes[[#This Row],[id_operacion]],tblEjecucion[id_operacion],tblEjecucion[precio],0))</f>
        <v/>
      </c>
      <c r="AJ399" s="11">
        <f>IF(tblOrdenes[[#This Row],[orden]]="","",MAX(0,_xlfn.XLOOKUP(tblOrdenes[[#This Row],[id_operacion]],tblEjecucion[id_operacion],tblEjecucion[costo_plan_total],0)-tblOrdenes[[#This Row],[costo_servicio]]))</f>
        <v/>
      </c>
      <c r="AK399" s="11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3">
        <f>IF(tblOrdenes[[#This Row],[fecha_inicio]]="","",TODAY()-tblOrdenes[[#This Row],[fecha_inicio]])</f>
        <v/>
      </c>
      <c r="AB4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1">
        <f>IF(tblOrdenes[[#This Row],[orden]]="","",_xlfn.XLOOKUP(tblOrdenes[[#This Row],[id_operacion]],tblEjecucion[id_operacion],tblEjecucion[precio],0))</f>
        <v/>
      </c>
      <c r="AJ400" s="11">
        <f>IF(tblOrdenes[[#This Row],[orden]]="","",MAX(0,_xlfn.XLOOKUP(tblOrdenes[[#This Row],[id_operacion]],tblEjecucion[id_operacion],tblEjecucion[costo_plan_total],0)-tblOrdenes[[#This Row],[costo_servicio]]))</f>
        <v/>
      </c>
      <c r="AK400" s="11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3">
        <f>IF(tblOrdenes[[#This Row],[fecha_inicio]]="","",TODAY()-tblOrdenes[[#This Row],[fecha_inicio]])</f>
        <v/>
      </c>
      <c r="AB4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1">
        <f>IF(tblOrdenes[[#This Row],[orden]]="","",_xlfn.XLOOKUP(tblOrdenes[[#This Row],[id_operacion]],tblEjecucion[id_operacion],tblEjecucion[precio],0))</f>
        <v/>
      </c>
      <c r="AJ401" s="11">
        <f>IF(tblOrdenes[[#This Row],[orden]]="","",MAX(0,_xlfn.XLOOKUP(tblOrdenes[[#This Row],[id_operacion]],tblEjecucion[id_operacion],tblEjecucion[costo_plan_total],0)-tblOrdenes[[#This Row],[costo_servicio]]))</f>
        <v/>
      </c>
      <c r="AK401" s="11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3">
        <f>IF(tblOrdenes[[#This Row],[fecha_inicio]]="","",TODAY()-tblOrdenes[[#This Row],[fecha_inicio]])</f>
        <v/>
      </c>
      <c r="AB4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1">
        <f>IF(tblOrdenes[[#This Row],[orden]]="","",_xlfn.XLOOKUP(tblOrdenes[[#This Row],[id_operacion]],tblEjecucion[id_operacion],tblEjecucion[precio],0))</f>
        <v/>
      </c>
      <c r="AJ402" s="11">
        <f>IF(tblOrdenes[[#This Row],[orden]]="","",MAX(0,_xlfn.XLOOKUP(tblOrdenes[[#This Row],[id_operacion]],tblEjecucion[id_operacion],tblEjecucion[costo_plan_total],0)-tblOrdenes[[#This Row],[costo_servicio]]))</f>
        <v/>
      </c>
      <c r="AK402" s="11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3">
        <f>IF(tblOrdenes[[#This Row],[fecha_inicio]]="","",TODAY()-tblOrdenes[[#This Row],[fecha_inicio]])</f>
        <v/>
      </c>
      <c r="AB4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1">
        <f>IF(tblOrdenes[[#This Row],[orden]]="","",_xlfn.XLOOKUP(tblOrdenes[[#This Row],[id_operacion]],tblEjecucion[id_operacion],tblEjecucion[precio],0))</f>
        <v/>
      </c>
      <c r="AJ403" s="11">
        <f>IF(tblOrdenes[[#This Row],[orden]]="","",MAX(0,_xlfn.XLOOKUP(tblOrdenes[[#This Row],[id_operacion]],tblEjecucion[id_operacion],tblEjecucion[costo_plan_total],0)-tblOrdenes[[#This Row],[costo_servicio]]))</f>
        <v/>
      </c>
      <c r="AK403" s="11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3">
        <f>IF(tblOrdenes[[#This Row],[fecha_inicio]]="","",TODAY()-tblOrdenes[[#This Row],[fecha_inicio]])</f>
        <v/>
      </c>
      <c r="AB4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1">
        <f>IF(tblOrdenes[[#This Row],[orden]]="","",_xlfn.XLOOKUP(tblOrdenes[[#This Row],[id_operacion]],tblEjecucion[id_operacion],tblEjecucion[precio],0))</f>
        <v/>
      </c>
      <c r="AJ404" s="11">
        <f>IF(tblOrdenes[[#This Row],[orden]]="","",MAX(0,_xlfn.XLOOKUP(tblOrdenes[[#This Row],[id_operacion]],tblEjecucion[id_operacion],tblEjecucion[costo_plan_total],0)-tblOrdenes[[#This Row],[costo_servicio]]))</f>
        <v/>
      </c>
      <c r="AK404" s="11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3">
        <f>IF(tblOrdenes[[#This Row],[fecha_inicio]]="","",TODAY()-tblOrdenes[[#This Row],[fecha_inicio]])</f>
        <v/>
      </c>
      <c r="AB4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1">
        <f>IF(tblOrdenes[[#This Row],[orden]]="","",_xlfn.XLOOKUP(tblOrdenes[[#This Row],[id_operacion]],tblEjecucion[id_operacion],tblEjecucion[precio],0))</f>
        <v/>
      </c>
      <c r="AJ405" s="11">
        <f>IF(tblOrdenes[[#This Row],[orden]]="","",MAX(0,_xlfn.XLOOKUP(tblOrdenes[[#This Row],[id_operacion]],tblEjecucion[id_operacion],tblEjecucion[costo_plan_total],0)-tblOrdenes[[#This Row],[costo_servicio]]))</f>
        <v/>
      </c>
      <c r="AK405" s="11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3">
        <f>IF(tblOrdenes[[#This Row],[fecha_inicio]]="","",TODAY()-tblOrdenes[[#This Row],[fecha_inicio]])</f>
        <v/>
      </c>
      <c r="AB4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1">
        <f>IF(tblOrdenes[[#This Row],[orden]]="","",_xlfn.XLOOKUP(tblOrdenes[[#This Row],[id_operacion]],tblEjecucion[id_operacion],tblEjecucion[precio],0))</f>
        <v/>
      </c>
      <c r="AJ406" s="11">
        <f>IF(tblOrdenes[[#This Row],[orden]]="","",MAX(0,_xlfn.XLOOKUP(tblOrdenes[[#This Row],[id_operacion]],tblEjecucion[id_operacion],tblEjecucion[costo_plan_total],0)-tblOrdenes[[#This Row],[costo_servicio]]))</f>
        <v/>
      </c>
      <c r="AK406" s="11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3">
        <f>IF(tblOrdenes[[#This Row],[fecha_inicio]]="","",TODAY()-tblOrdenes[[#This Row],[fecha_inicio]])</f>
        <v/>
      </c>
      <c r="AB4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1">
        <f>IF(tblOrdenes[[#This Row],[orden]]="","",_xlfn.XLOOKUP(tblOrdenes[[#This Row],[id_operacion]],tblEjecucion[id_operacion],tblEjecucion[precio],0))</f>
        <v/>
      </c>
      <c r="AJ407" s="11">
        <f>IF(tblOrdenes[[#This Row],[orden]]="","",MAX(0,_xlfn.XLOOKUP(tblOrdenes[[#This Row],[id_operacion]],tblEjecucion[id_operacion],tblEjecucion[costo_plan_total],0)-tblOrdenes[[#This Row],[costo_servicio]]))</f>
        <v/>
      </c>
      <c r="AK407" s="11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3">
        <f>IF(tblOrdenes[[#This Row],[fecha_inicio]]="","",TODAY()-tblOrdenes[[#This Row],[fecha_inicio]])</f>
        <v/>
      </c>
      <c r="AB4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1">
        <f>IF(tblOrdenes[[#This Row],[orden]]="","",_xlfn.XLOOKUP(tblOrdenes[[#This Row],[id_operacion]],tblEjecucion[id_operacion],tblEjecucion[precio],0))</f>
        <v/>
      </c>
      <c r="AJ408" s="11">
        <f>IF(tblOrdenes[[#This Row],[orden]]="","",MAX(0,_xlfn.XLOOKUP(tblOrdenes[[#This Row],[id_operacion]],tblEjecucion[id_operacion],tblEjecucion[costo_plan_total],0)-tblOrdenes[[#This Row],[costo_servicio]]))</f>
        <v/>
      </c>
      <c r="AK408" s="11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3">
        <f>IF(tblOrdenes[[#This Row],[fecha_inicio]]="","",TODAY()-tblOrdenes[[#This Row],[fecha_inicio]])</f>
        <v/>
      </c>
      <c r="AB4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1">
        <f>IF(tblOrdenes[[#This Row],[orden]]="","",_xlfn.XLOOKUP(tblOrdenes[[#This Row],[id_operacion]],tblEjecucion[id_operacion],tblEjecucion[precio],0))</f>
        <v/>
      </c>
      <c r="AJ409" s="11">
        <f>IF(tblOrdenes[[#This Row],[orden]]="","",MAX(0,_xlfn.XLOOKUP(tblOrdenes[[#This Row],[id_operacion]],tblEjecucion[id_operacion],tblEjecucion[costo_plan_total],0)-tblOrdenes[[#This Row],[costo_servicio]]))</f>
        <v/>
      </c>
      <c r="AK409" s="11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3">
        <f>IF(tblOrdenes[[#This Row],[fecha_inicio]]="","",TODAY()-tblOrdenes[[#This Row],[fecha_inicio]])</f>
        <v/>
      </c>
      <c r="AB4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1">
        <f>IF(tblOrdenes[[#This Row],[orden]]="","",_xlfn.XLOOKUP(tblOrdenes[[#This Row],[id_operacion]],tblEjecucion[id_operacion],tblEjecucion[precio],0))</f>
        <v/>
      </c>
      <c r="AJ410" s="11">
        <f>IF(tblOrdenes[[#This Row],[orden]]="","",MAX(0,_xlfn.XLOOKUP(tblOrdenes[[#This Row],[id_operacion]],tblEjecucion[id_operacion],tblEjecucion[costo_plan_total],0)-tblOrdenes[[#This Row],[costo_servicio]]))</f>
        <v/>
      </c>
      <c r="AK410" s="11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3">
        <f>IF(tblOrdenes[[#This Row],[fecha_inicio]]="","",TODAY()-tblOrdenes[[#This Row],[fecha_inicio]])</f>
        <v/>
      </c>
      <c r="AB4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1">
        <f>IF(tblOrdenes[[#This Row],[orden]]="","",_xlfn.XLOOKUP(tblOrdenes[[#This Row],[id_operacion]],tblEjecucion[id_operacion],tblEjecucion[precio],0))</f>
        <v/>
      </c>
      <c r="AJ411" s="11">
        <f>IF(tblOrdenes[[#This Row],[orden]]="","",MAX(0,_xlfn.XLOOKUP(tblOrdenes[[#This Row],[id_operacion]],tblEjecucion[id_operacion],tblEjecucion[costo_plan_total],0)-tblOrdenes[[#This Row],[costo_servicio]]))</f>
        <v/>
      </c>
      <c r="AK411" s="11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3">
        <f>IF(tblOrdenes[[#This Row],[fecha_inicio]]="","",TODAY()-tblOrdenes[[#This Row],[fecha_inicio]])</f>
        <v/>
      </c>
      <c r="AB4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1">
        <f>IF(tblOrdenes[[#This Row],[orden]]="","",_xlfn.XLOOKUP(tblOrdenes[[#This Row],[id_operacion]],tblEjecucion[id_operacion],tblEjecucion[precio],0))</f>
        <v/>
      </c>
      <c r="AJ412" s="11">
        <f>IF(tblOrdenes[[#This Row],[orden]]="","",MAX(0,_xlfn.XLOOKUP(tblOrdenes[[#This Row],[id_operacion]],tblEjecucion[id_operacion],tblEjecucion[costo_plan_total],0)-tblOrdenes[[#This Row],[costo_servicio]]))</f>
        <v/>
      </c>
      <c r="AK412" s="11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3">
        <f>IF(tblOrdenes[[#This Row],[fecha_inicio]]="","",TODAY()-tblOrdenes[[#This Row],[fecha_inicio]])</f>
        <v/>
      </c>
      <c r="AB4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1">
        <f>IF(tblOrdenes[[#This Row],[orden]]="","",_xlfn.XLOOKUP(tblOrdenes[[#This Row],[id_operacion]],tblEjecucion[id_operacion],tblEjecucion[precio],0))</f>
        <v/>
      </c>
      <c r="AJ413" s="11">
        <f>IF(tblOrdenes[[#This Row],[orden]]="","",MAX(0,_xlfn.XLOOKUP(tblOrdenes[[#This Row],[id_operacion]],tblEjecucion[id_operacion],tblEjecucion[costo_plan_total],0)-tblOrdenes[[#This Row],[costo_servicio]]))</f>
        <v/>
      </c>
      <c r="AK413" s="11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3">
        <f>IF(tblOrdenes[[#This Row],[fecha_inicio]]="","",TODAY()-tblOrdenes[[#This Row],[fecha_inicio]])</f>
        <v/>
      </c>
      <c r="AB4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1">
        <f>IF(tblOrdenes[[#This Row],[orden]]="","",_xlfn.XLOOKUP(tblOrdenes[[#This Row],[id_operacion]],tblEjecucion[id_operacion],tblEjecucion[precio],0))</f>
        <v/>
      </c>
      <c r="AJ414" s="11">
        <f>IF(tblOrdenes[[#This Row],[orden]]="","",MAX(0,_xlfn.XLOOKUP(tblOrdenes[[#This Row],[id_operacion]],tblEjecucion[id_operacion],tblEjecucion[costo_plan_total],0)-tblOrdenes[[#This Row],[costo_servicio]]))</f>
        <v/>
      </c>
      <c r="AK414" s="11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3">
        <f>IF(tblOrdenes[[#This Row],[fecha_inicio]]="","",TODAY()-tblOrdenes[[#This Row],[fecha_inicio]])</f>
        <v/>
      </c>
      <c r="AB4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1">
        <f>IF(tblOrdenes[[#This Row],[orden]]="","",_xlfn.XLOOKUP(tblOrdenes[[#This Row],[id_operacion]],tblEjecucion[id_operacion],tblEjecucion[precio],0))</f>
        <v/>
      </c>
      <c r="AJ415" s="11">
        <f>IF(tblOrdenes[[#This Row],[orden]]="","",MAX(0,_xlfn.XLOOKUP(tblOrdenes[[#This Row],[id_operacion]],tblEjecucion[id_operacion],tblEjecucion[costo_plan_total],0)-tblOrdenes[[#This Row],[costo_servicio]]))</f>
        <v/>
      </c>
      <c r="AK415" s="11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3">
        <f>IF(tblOrdenes[[#This Row],[fecha_inicio]]="","",TODAY()-tblOrdenes[[#This Row],[fecha_inicio]])</f>
        <v/>
      </c>
      <c r="AB4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1">
        <f>IF(tblOrdenes[[#This Row],[orden]]="","",_xlfn.XLOOKUP(tblOrdenes[[#This Row],[id_operacion]],tblEjecucion[id_operacion],tblEjecucion[precio],0))</f>
        <v/>
      </c>
      <c r="AJ416" s="11">
        <f>IF(tblOrdenes[[#This Row],[orden]]="","",MAX(0,_xlfn.XLOOKUP(tblOrdenes[[#This Row],[id_operacion]],tblEjecucion[id_operacion],tblEjecucion[costo_plan_total],0)-tblOrdenes[[#This Row],[costo_servicio]]))</f>
        <v/>
      </c>
      <c r="AK416" s="11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3">
        <f>IF(tblOrdenes[[#This Row],[fecha_inicio]]="","",TODAY()-tblOrdenes[[#This Row],[fecha_inicio]])</f>
        <v/>
      </c>
      <c r="AB4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1">
        <f>IF(tblOrdenes[[#This Row],[orden]]="","",_xlfn.XLOOKUP(tblOrdenes[[#This Row],[id_operacion]],tblEjecucion[id_operacion],tblEjecucion[precio],0))</f>
        <v/>
      </c>
      <c r="AJ417" s="11">
        <f>IF(tblOrdenes[[#This Row],[orden]]="","",MAX(0,_xlfn.XLOOKUP(tblOrdenes[[#This Row],[id_operacion]],tblEjecucion[id_operacion],tblEjecucion[costo_plan_total],0)-tblOrdenes[[#This Row],[costo_servicio]]))</f>
        <v/>
      </c>
      <c r="AK417" s="11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3">
        <f>IF(tblOrdenes[[#This Row],[fecha_inicio]]="","",TODAY()-tblOrdenes[[#This Row],[fecha_inicio]])</f>
        <v/>
      </c>
      <c r="AB4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1">
        <f>IF(tblOrdenes[[#This Row],[orden]]="","",_xlfn.XLOOKUP(tblOrdenes[[#This Row],[id_operacion]],tblEjecucion[id_operacion],tblEjecucion[precio],0))</f>
        <v/>
      </c>
      <c r="AJ418" s="11">
        <f>IF(tblOrdenes[[#This Row],[orden]]="","",MAX(0,_xlfn.XLOOKUP(tblOrdenes[[#This Row],[id_operacion]],tblEjecucion[id_operacion],tblEjecucion[costo_plan_total],0)-tblOrdenes[[#This Row],[costo_servicio]]))</f>
        <v/>
      </c>
      <c r="AK418" s="11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3">
        <f>IF(tblOrdenes[[#This Row],[fecha_inicio]]="","",TODAY()-tblOrdenes[[#This Row],[fecha_inicio]])</f>
        <v/>
      </c>
      <c r="AB4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1">
        <f>IF(tblOrdenes[[#This Row],[orden]]="","",_xlfn.XLOOKUP(tblOrdenes[[#This Row],[id_operacion]],tblEjecucion[id_operacion],tblEjecucion[precio],0))</f>
        <v/>
      </c>
      <c r="AJ419" s="11">
        <f>IF(tblOrdenes[[#This Row],[orden]]="","",MAX(0,_xlfn.XLOOKUP(tblOrdenes[[#This Row],[id_operacion]],tblEjecucion[id_operacion],tblEjecucion[costo_plan_total],0)-tblOrdenes[[#This Row],[costo_servicio]]))</f>
        <v/>
      </c>
      <c r="AK419" s="11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3">
        <f>IF(tblOrdenes[[#This Row],[fecha_inicio]]="","",TODAY()-tblOrdenes[[#This Row],[fecha_inicio]])</f>
        <v/>
      </c>
      <c r="AB4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1">
        <f>IF(tblOrdenes[[#This Row],[orden]]="","",_xlfn.XLOOKUP(tblOrdenes[[#This Row],[id_operacion]],tblEjecucion[id_operacion],tblEjecucion[precio],0))</f>
        <v/>
      </c>
      <c r="AJ420" s="11">
        <f>IF(tblOrdenes[[#This Row],[orden]]="","",MAX(0,_xlfn.XLOOKUP(tblOrdenes[[#This Row],[id_operacion]],tblEjecucion[id_operacion],tblEjecucion[costo_plan_total],0)-tblOrdenes[[#This Row],[costo_servicio]]))</f>
        <v/>
      </c>
      <c r="AK420" s="11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3">
        <f>IF(tblOrdenes[[#This Row],[fecha_inicio]]="","",TODAY()-tblOrdenes[[#This Row],[fecha_inicio]])</f>
        <v/>
      </c>
      <c r="AB4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1">
        <f>IF(tblOrdenes[[#This Row],[orden]]="","",_xlfn.XLOOKUP(tblOrdenes[[#This Row],[id_operacion]],tblEjecucion[id_operacion],tblEjecucion[precio],0))</f>
        <v/>
      </c>
      <c r="AJ421" s="11">
        <f>IF(tblOrdenes[[#This Row],[orden]]="","",MAX(0,_xlfn.XLOOKUP(tblOrdenes[[#This Row],[id_operacion]],tblEjecucion[id_operacion],tblEjecucion[costo_plan_total],0)-tblOrdenes[[#This Row],[costo_servicio]]))</f>
        <v/>
      </c>
      <c r="AK421" s="11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3">
        <f>IF(tblOrdenes[[#This Row],[fecha_inicio]]="","",TODAY()-tblOrdenes[[#This Row],[fecha_inicio]])</f>
        <v/>
      </c>
      <c r="AB4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1">
        <f>IF(tblOrdenes[[#This Row],[orden]]="","",_xlfn.XLOOKUP(tblOrdenes[[#This Row],[id_operacion]],tblEjecucion[id_operacion],tblEjecucion[precio],0))</f>
        <v/>
      </c>
      <c r="AJ422" s="11">
        <f>IF(tblOrdenes[[#This Row],[orden]]="","",MAX(0,_xlfn.XLOOKUP(tblOrdenes[[#This Row],[id_operacion]],tblEjecucion[id_operacion],tblEjecucion[costo_plan_total],0)-tblOrdenes[[#This Row],[costo_servicio]]))</f>
        <v/>
      </c>
      <c r="AK422" s="11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3">
        <f>IF(tblOrdenes[[#This Row],[fecha_inicio]]="","",TODAY()-tblOrdenes[[#This Row],[fecha_inicio]])</f>
        <v/>
      </c>
      <c r="AB4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1">
        <f>IF(tblOrdenes[[#This Row],[orden]]="","",_xlfn.XLOOKUP(tblOrdenes[[#This Row],[id_operacion]],tblEjecucion[id_operacion],tblEjecucion[precio],0))</f>
        <v/>
      </c>
      <c r="AJ423" s="11">
        <f>IF(tblOrdenes[[#This Row],[orden]]="","",MAX(0,_xlfn.XLOOKUP(tblOrdenes[[#This Row],[id_operacion]],tblEjecucion[id_operacion],tblEjecucion[costo_plan_total],0)-tblOrdenes[[#This Row],[costo_servicio]]))</f>
        <v/>
      </c>
      <c r="AK423" s="11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3">
        <f>IF(tblOrdenes[[#This Row],[fecha_inicio]]="","",TODAY()-tblOrdenes[[#This Row],[fecha_inicio]])</f>
        <v/>
      </c>
      <c r="AB4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1">
        <f>IF(tblOrdenes[[#This Row],[orden]]="","",_xlfn.XLOOKUP(tblOrdenes[[#This Row],[id_operacion]],tblEjecucion[id_operacion],tblEjecucion[precio],0))</f>
        <v/>
      </c>
      <c r="AJ424" s="11">
        <f>IF(tblOrdenes[[#This Row],[orden]]="","",MAX(0,_xlfn.XLOOKUP(tblOrdenes[[#This Row],[id_operacion]],tblEjecucion[id_operacion],tblEjecucion[costo_plan_total],0)-tblOrdenes[[#This Row],[costo_servicio]]))</f>
        <v/>
      </c>
      <c r="AK424" s="11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3">
        <f>IF(tblOrdenes[[#This Row],[fecha_inicio]]="","",TODAY()-tblOrdenes[[#This Row],[fecha_inicio]])</f>
        <v/>
      </c>
      <c r="AB4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1">
        <f>IF(tblOrdenes[[#This Row],[orden]]="","",_xlfn.XLOOKUP(tblOrdenes[[#This Row],[id_operacion]],tblEjecucion[id_operacion],tblEjecucion[precio],0))</f>
        <v/>
      </c>
      <c r="AJ425" s="11">
        <f>IF(tblOrdenes[[#This Row],[orden]]="","",MAX(0,_xlfn.XLOOKUP(tblOrdenes[[#This Row],[id_operacion]],tblEjecucion[id_operacion],tblEjecucion[costo_plan_total],0)-tblOrdenes[[#This Row],[costo_servicio]]))</f>
        <v/>
      </c>
      <c r="AK425" s="11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3">
        <f>IF(tblOrdenes[[#This Row],[fecha_inicio]]="","",TODAY()-tblOrdenes[[#This Row],[fecha_inicio]])</f>
        <v/>
      </c>
      <c r="AB4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1">
        <f>IF(tblOrdenes[[#This Row],[orden]]="","",_xlfn.XLOOKUP(tblOrdenes[[#This Row],[id_operacion]],tblEjecucion[id_operacion],tblEjecucion[precio],0))</f>
        <v/>
      </c>
      <c r="AJ426" s="11">
        <f>IF(tblOrdenes[[#This Row],[orden]]="","",MAX(0,_xlfn.XLOOKUP(tblOrdenes[[#This Row],[id_operacion]],tblEjecucion[id_operacion],tblEjecucion[costo_plan_total],0)-tblOrdenes[[#This Row],[costo_servicio]]))</f>
        <v/>
      </c>
      <c r="AK426" s="11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3">
        <f>IF(tblOrdenes[[#This Row],[fecha_inicio]]="","",TODAY()-tblOrdenes[[#This Row],[fecha_inicio]])</f>
        <v/>
      </c>
      <c r="AB4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1">
        <f>IF(tblOrdenes[[#This Row],[orden]]="","",_xlfn.XLOOKUP(tblOrdenes[[#This Row],[id_operacion]],tblEjecucion[id_operacion],tblEjecucion[precio],0))</f>
        <v/>
      </c>
      <c r="AJ427" s="11">
        <f>IF(tblOrdenes[[#This Row],[orden]]="","",MAX(0,_xlfn.XLOOKUP(tblOrdenes[[#This Row],[id_operacion]],tblEjecucion[id_operacion],tblEjecucion[costo_plan_total],0)-tblOrdenes[[#This Row],[costo_servicio]]))</f>
        <v/>
      </c>
      <c r="AK427" s="11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3">
        <f>IF(tblOrdenes[[#This Row],[fecha_inicio]]="","",TODAY()-tblOrdenes[[#This Row],[fecha_inicio]])</f>
        <v/>
      </c>
      <c r="AB4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1">
        <f>IF(tblOrdenes[[#This Row],[orden]]="","",_xlfn.XLOOKUP(tblOrdenes[[#This Row],[id_operacion]],tblEjecucion[id_operacion],tblEjecucion[precio],0))</f>
        <v/>
      </c>
      <c r="AJ428" s="11">
        <f>IF(tblOrdenes[[#This Row],[orden]]="","",MAX(0,_xlfn.XLOOKUP(tblOrdenes[[#This Row],[id_operacion]],tblEjecucion[id_operacion],tblEjecucion[costo_plan_total],0)-tblOrdenes[[#This Row],[costo_servicio]]))</f>
        <v/>
      </c>
      <c r="AK428" s="11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3">
        <f>IF(tblOrdenes[[#This Row],[fecha_inicio]]="","",TODAY()-tblOrdenes[[#This Row],[fecha_inicio]])</f>
        <v/>
      </c>
      <c r="AB4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1">
        <f>IF(tblOrdenes[[#This Row],[orden]]="","",_xlfn.XLOOKUP(tblOrdenes[[#This Row],[id_operacion]],tblEjecucion[id_operacion],tblEjecucion[precio],0))</f>
        <v/>
      </c>
      <c r="AJ429" s="11">
        <f>IF(tblOrdenes[[#This Row],[orden]]="","",MAX(0,_xlfn.XLOOKUP(tblOrdenes[[#This Row],[id_operacion]],tblEjecucion[id_operacion],tblEjecucion[costo_plan_total],0)-tblOrdenes[[#This Row],[costo_servicio]]))</f>
        <v/>
      </c>
      <c r="AK429" s="11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3">
        <f>IF(tblOrdenes[[#This Row],[fecha_inicio]]="","",TODAY()-tblOrdenes[[#This Row],[fecha_inicio]])</f>
        <v/>
      </c>
      <c r="AB4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1">
        <f>IF(tblOrdenes[[#This Row],[orden]]="","",_xlfn.XLOOKUP(tblOrdenes[[#This Row],[id_operacion]],tblEjecucion[id_operacion],tblEjecucion[precio],0))</f>
        <v/>
      </c>
      <c r="AJ430" s="11">
        <f>IF(tblOrdenes[[#This Row],[orden]]="","",MAX(0,_xlfn.XLOOKUP(tblOrdenes[[#This Row],[id_operacion]],tblEjecucion[id_operacion],tblEjecucion[costo_plan_total],0)-tblOrdenes[[#This Row],[costo_servicio]]))</f>
        <v/>
      </c>
      <c r="AK430" s="11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3">
        <f>IF(tblOrdenes[[#This Row],[fecha_inicio]]="","",TODAY()-tblOrdenes[[#This Row],[fecha_inicio]])</f>
        <v/>
      </c>
      <c r="AB4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1">
        <f>IF(tblOrdenes[[#This Row],[orden]]="","",_xlfn.XLOOKUP(tblOrdenes[[#This Row],[id_operacion]],tblEjecucion[id_operacion],tblEjecucion[precio],0))</f>
        <v/>
      </c>
      <c r="AJ431" s="11">
        <f>IF(tblOrdenes[[#This Row],[orden]]="","",MAX(0,_xlfn.XLOOKUP(tblOrdenes[[#This Row],[id_operacion]],tblEjecucion[id_operacion],tblEjecucion[costo_plan_total],0)-tblOrdenes[[#This Row],[costo_servicio]]))</f>
        <v/>
      </c>
      <c r="AK431" s="11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3">
        <f>IF(tblOrdenes[[#This Row],[fecha_inicio]]="","",TODAY()-tblOrdenes[[#This Row],[fecha_inicio]])</f>
        <v/>
      </c>
      <c r="AB4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1">
        <f>IF(tblOrdenes[[#This Row],[orden]]="","",_xlfn.XLOOKUP(tblOrdenes[[#This Row],[id_operacion]],tblEjecucion[id_operacion],tblEjecucion[precio],0))</f>
        <v/>
      </c>
      <c r="AJ432" s="11">
        <f>IF(tblOrdenes[[#This Row],[orden]]="","",MAX(0,_xlfn.XLOOKUP(tblOrdenes[[#This Row],[id_operacion]],tblEjecucion[id_operacion],tblEjecucion[costo_plan_total],0)-tblOrdenes[[#This Row],[costo_servicio]]))</f>
        <v/>
      </c>
      <c r="AK432" s="11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3">
        <f>IF(tblOrdenes[[#This Row],[fecha_inicio]]="","",TODAY()-tblOrdenes[[#This Row],[fecha_inicio]])</f>
        <v/>
      </c>
      <c r="AB4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1">
        <f>IF(tblOrdenes[[#This Row],[orden]]="","",_xlfn.XLOOKUP(tblOrdenes[[#This Row],[id_operacion]],tblEjecucion[id_operacion],tblEjecucion[precio],0))</f>
        <v/>
      </c>
      <c r="AJ433" s="11">
        <f>IF(tblOrdenes[[#This Row],[orden]]="","",MAX(0,_xlfn.XLOOKUP(tblOrdenes[[#This Row],[id_operacion]],tblEjecucion[id_operacion],tblEjecucion[costo_plan_total],0)-tblOrdenes[[#This Row],[costo_servicio]]))</f>
        <v/>
      </c>
      <c r="AK433" s="11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3">
        <f>IF(tblOrdenes[[#This Row],[fecha_inicio]]="","",TODAY()-tblOrdenes[[#This Row],[fecha_inicio]])</f>
        <v/>
      </c>
      <c r="AB4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1">
        <f>IF(tblOrdenes[[#This Row],[orden]]="","",_xlfn.XLOOKUP(tblOrdenes[[#This Row],[id_operacion]],tblEjecucion[id_operacion],tblEjecucion[precio],0))</f>
        <v/>
      </c>
      <c r="AJ434" s="11">
        <f>IF(tblOrdenes[[#This Row],[orden]]="","",MAX(0,_xlfn.XLOOKUP(tblOrdenes[[#This Row],[id_operacion]],tblEjecucion[id_operacion],tblEjecucion[costo_plan_total],0)-tblOrdenes[[#This Row],[costo_servicio]]))</f>
        <v/>
      </c>
      <c r="AK434" s="11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3">
        <f>IF(tblOrdenes[[#This Row],[fecha_inicio]]="","",TODAY()-tblOrdenes[[#This Row],[fecha_inicio]])</f>
        <v/>
      </c>
      <c r="AB4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1">
        <f>IF(tblOrdenes[[#This Row],[orden]]="","",_xlfn.XLOOKUP(tblOrdenes[[#This Row],[id_operacion]],tblEjecucion[id_operacion],tblEjecucion[precio],0))</f>
        <v/>
      </c>
      <c r="AJ435" s="11">
        <f>IF(tblOrdenes[[#This Row],[orden]]="","",MAX(0,_xlfn.XLOOKUP(tblOrdenes[[#This Row],[id_operacion]],tblEjecucion[id_operacion],tblEjecucion[costo_plan_total],0)-tblOrdenes[[#This Row],[costo_servicio]]))</f>
        <v/>
      </c>
      <c r="AK435" s="11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3">
        <f>IF(tblOrdenes[[#This Row],[fecha_inicio]]="","",TODAY()-tblOrdenes[[#This Row],[fecha_inicio]])</f>
        <v/>
      </c>
      <c r="AB4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1">
        <f>IF(tblOrdenes[[#This Row],[orden]]="","",_xlfn.XLOOKUP(tblOrdenes[[#This Row],[id_operacion]],tblEjecucion[id_operacion],tblEjecucion[precio],0))</f>
        <v/>
      </c>
      <c r="AJ436" s="11">
        <f>IF(tblOrdenes[[#This Row],[orden]]="","",MAX(0,_xlfn.XLOOKUP(tblOrdenes[[#This Row],[id_operacion]],tblEjecucion[id_operacion],tblEjecucion[costo_plan_total],0)-tblOrdenes[[#This Row],[costo_servicio]]))</f>
        <v/>
      </c>
      <c r="AK436" s="11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3">
        <f>IF(tblOrdenes[[#This Row],[fecha_inicio]]="","",TODAY()-tblOrdenes[[#This Row],[fecha_inicio]])</f>
        <v/>
      </c>
      <c r="AB4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1">
        <f>IF(tblOrdenes[[#This Row],[orden]]="","",_xlfn.XLOOKUP(tblOrdenes[[#This Row],[id_operacion]],tblEjecucion[id_operacion],tblEjecucion[precio],0))</f>
        <v/>
      </c>
      <c r="AJ437" s="11">
        <f>IF(tblOrdenes[[#This Row],[orden]]="","",MAX(0,_xlfn.XLOOKUP(tblOrdenes[[#This Row],[id_operacion]],tblEjecucion[id_operacion],tblEjecucion[costo_plan_total],0)-tblOrdenes[[#This Row],[costo_servicio]]))</f>
        <v/>
      </c>
      <c r="AK437" s="11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3">
        <f>IF(tblOrdenes[[#This Row],[fecha_inicio]]="","",TODAY()-tblOrdenes[[#This Row],[fecha_inicio]])</f>
        <v/>
      </c>
      <c r="AB4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1">
        <f>IF(tblOrdenes[[#This Row],[orden]]="","",_xlfn.XLOOKUP(tblOrdenes[[#This Row],[id_operacion]],tblEjecucion[id_operacion],tblEjecucion[precio],0))</f>
        <v/>
      </c>
      <c r="AJ438" s="11">
        <f>IF(tblOrdenes[[#This Row],[orden]]="","",MAX(0,_xlfn.XLOOKUP(tblOrdenes[[#This Row],[id_operacion]],tblEjecucion[id_operacion],tblEjecucion[costo_plan_total],0)-tblOrdenes[[#This Row],[costo_servicio]]))</f>
        <v/>
      </c>
      <c r="AK438" s="11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3">
        <f>IF(tblOrdenes[[#This Row],[fecha_inicio]]="","",TODAY()-tblOrdenes[[#This Row],[fecha_inicio]])</f>
        <v/>
      </c>
      <c r="AB4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1">
        <f>IF(tblOrdenes[[#This Row],[orden]]="","",_xlfn.XLOOKUP(tblOrdenes[[#This Row],[id_operacion]],tblEjecucion[id_operacion],tblEjecucion[precio],0))</f>
        <v/>
      </c>
      <c r="AJ439" s="11">
        <f>IF(tblOrdenes[[#This Row],[orden]]="","",MAX(0,_xlfn.XLOOKUP(tblOrdenes[[#This Row],[id_operacion]],tblEjecucion[id_operacion],tblEjecucion[costo_plan_total],0)-tblOrdenes[[#This Row],[costo_servicio]]))</f>
        <v/>
      </c>
      <c r="AK439" s="11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3">
        <f>IF(tblOrdenes[[#This Row],[fecha_inicio]]="","",TODAY()-tblOrdenes[[#This Row],[fecha_inicio]])</f>
        <v/>
      </c>
      <c r="AB4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1">
        <f>IF(tblOrdenes[[#This Row],[orden]]="","",_xlfn.XLOOKUP(tblOrdenes[[#This Row],[id_operacion]],tblEjecucion[id_operacion],tblEjecucion[precio],0))</f>
        <v/>
      </c>
      <c r="AJ440" s="11">
        <f>IF(tblOrdenes[[#This Row],[orden]]="","",MAX(0,_xlfn.XLOOKUP(tblOrdenes[[#This Row],[id_operacion]],tblEjecucion[id_operacion],tblEjecucion[costo_plan_total],0)-tblOrdenes[[#This Row],[costo_servicio]]))</f>
        <v/>
      </c>
      <c r="AK440" s="11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3">
        <f>IF(tblOrdenes[[#This Row],[fecha_inicio]]="","",TODAY()-tblOrdenes[[#This Row],[fecha_inicio]])</f>
        <v/>
      </c>
      <c r="AB4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1">
        <f>IF(tblOrdenes[[#This Row],[orden]]="","",_xlfn.XLOOKUP(tblOrdenes[[#This Row],[id_operacion]],tblEjecucion[id_operacion],tblEjecucion[precio],0))</f>
        <v/>
      </c>
      <c r="AJ441" s="11">
        <f>IF(tblOrdenes[[#This Row],[orden]]="","",MAX(0,_xlfn.XLOOKUP(tblOrdenes[[#This Row],[id_operacion]],tblEjecucion[id_operacion],tblEjecucion[costo_plan_total],0)-tblOrdenes[[#This Row],[costo_servicio]]))</f>
        <v/>
      </c>
      <c r="AK441" s="11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3">
        <f>IF(tblOrdenes[[#This Row],[fecha_inicio]]="","",TODAY()-tblOrdenes[[#This Row],[fecha_inicio]])</f>
        <v/>
      </c>
      <c r="AB4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1">
        <f>IF(tblOrdenes[[#This Row],[orden]]="","",_xlfn.XLOOKUP(tblOrdenes[[#This Row],[id_operacion]],tblEjecucion[id_operacion],tblEjecucion[precio],0))</f>
        <v/>
      </c>
      <c r="AJ442" s="11">
        <f>IF(tblOrdenes[[#This Row],[orden]]="","",MAX(0,_xlfn.XLOOKUP(tblOrdenes[[#This Row],[id_operacion]],tblEjecucion[id_operacion],tblEjecucion[costo_plan_total],0)-tblOrdenes[[#This Row],[costo_servicio]]))</f>
        <v/>
      </c>
      <c r="AK442" s="11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3">
        <f>IF(tblOrdenes[[#This Row],[fecha_inicio]]="","",TODAY()-tblOrdenes[[#This Row],[fecha_inicio]])</f>
        <v/>
      </c>
      <c r="AB4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1">
        <f>IF(tblOrdenes[[#This Row],[orden]]="","",_xlfn.XLOOKUP(tblOrdenes[[#This Row],[id_operacion]],tblEjecucion[id_operacion],tblEjecucion[precio],0))</f>
        <v/>
      </c>
      <c r="AJ443" s="11">
        <f>IF(tblOrdenes[[#This Row],[orden]]="","",MAX(0,_xlfn.XLOOKUP(tblOrdenes[[#This Row],[id_operacion]],tblEjecucion[id_operacion],tblEjecucion[costo_plan_total],0)-tblOrdenes[[#This Row],[costo_servicio]]))</f>
        <v/>
      </c>
      <c r="AK443" s="11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3">
        <f>IF(tblOrdenes[[#This Row],[fecha_inicio]]="","",TODAY()-tblOrdenes[[#This Row],[fecha_inicio]])</f>
        <v/>
      </c>
      <c r="AB4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1">
        <f>IF(tblOrdenes[[#This Row],[orden]]="","",_xlfn.XLOOKUP(tblOrdenes[[#This Row],[id_operacion]],tblEjecucion[id_operacion],tblEjecucion[precio],0))</f>
        <v/>
      </c>
      <c r="AJ444" s="11">
        <f>IF(tblOrdenes[[#This Row],[orden]]="","",MAX(0,_xlfn.XLOOKUP(tblOrdenes[[#This Row],[id_operacion]],tblEjecucion[id_operacion],tblEjecucion[costo_plan_total],0)-tblOrdenes[[#This Row],[costo_servicio]]))</f>
        <v/>
      </c>
      <c r="AK444" s="11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3">
        <f>IF(tblOrdenes[[#This Row],[fecha_inicio]]="","",TODAY()-tblOrdenes[[#This Row],[fecha_inicio]])</f>
        <v/>
      </c>
      <c r="AB4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1">
        <f>IF(tblOrdenes[[#This Row],[orden]]="","",_xlfn.XLOOKUP(tblOrdenes[[#This Row],[id_operacion]],tblEjecucion[id_operacion],tblEjecucion[precio],0))</f>
        <v/>
      </c>
      <c r="AJ445" s="11">
        <f>IF(tblOrdenes[[#This Row],[orden]]="","",MAX(0,_xlfn.XLOOKUP(tblOrdenes[[#This Row],[id_operacion]],tblEjecucion[id_operacion],tblEjecucion[costo_plan_total],0)-tblOrdenes[[#This Row],[costo_servicio]]))</f>
        <v/>
      </c>
      <c r="AK445" s="11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3">
        <f>IF(tblOrdenes[[#This Row],[fecha_inicio]]="","",TODAY()-tblOrdenes[[#This Row],[fecha_inicio]])</f>
        <v/>
      </c>
      <c r="AB4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1">
        <f>IF(tblOrdenes[[#This Row],[orden]]="","",_xlfn.XLOOKUP(tblOrdenes[[#This Row],[id_operacion]],tblEjecucion[id_operacion],tblEjecucion[precio],0))</f>
        <v/>
      </c>
      <c r="AJ446" s="11">
        <f>IF(tblOrdenes[[#This Row],[orden]]="","",MAX(0,_xlfn.XLOOKUP(tblOrdenes[[#This Row],[id_operacion]],tblEjecucion[id_operacion],tblEjecucion[costo_plan_total],0)-tblOrdenes[[#This Row],[costo_servicio]]))</f>
        <v/>
      </c>
      <c r="AK446" s="11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3">
        <f>IF(tblOrdenes[[#This Row],[fecha_inicio]]="","",TODAY()-tblOrdenes[[#This Row],[fecha_inicio]])</f>
        <v/>
      </c>
      <c r="AB4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1">
        <f>IF(tblOrdenes[[#This Row],[orden]]="","",_xlfn.XLOOKUP(tblOrdenes[[#This Row],[id_operacion]],tblEjecucion[id_operacion],tblEjecucion[precio],0))</f>
        <v/>
      </c>
      <c r="AJ447" s="11">
        <f>IF(tblOrdenes[[#This Row],[orden]]="","",MAX(0,_xlfn.XLOOKUP(tblOrdenes[[#This Row],[id_operacion]],tblEjecucion[id_operacion],tblEjecucion[costo_plan_total],0)-tblOrdenes[[#This Row],[costo_servicio]]))</f>
        <v/>
      </c>
      <c r="AK447" s="11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3">
        <f>IF(tblOrdenes[[#This Row],[fecha_inicio]]="","",TODAY()-tblOrdenes[[#This Row],[fecha_inicio]])</f>
        <v/>
      </c>
      <c r="AB4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1">
        <f>IF(tblOrdenes[[#This Row],[orden]]="","",_xlfn.XLOOKUP(tblOrdenes[[#This Row],[id_operacion]],tblEjecucion[id_operacion],tblEjecucion[precio],0))</f>
        <v/>
      </c>
      <c r="AJ448" s="11">
        <f>IF(tblOrdenes[[#This Row],[orden]]="","",MAX(0,_xlfn.XLOOKUP(tblOrdenes[[#This Row],[id_operacion]],tblEjecucion[id_operacion],tblEjecucion[costo_plan_total],0)-tblOrdenes[[#This Row],[costo_servicio]]))</f>
        <v/>
      </c>
      <c r="AK448" s="11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3">
        <f>IF(tblOrdenes[[#This Row],[fecha_inicio]]="","",TODAY()-tblOrdenes[[#This Row],[fecha_inicio]])</f>
        <v/>
      </c>
      <c r="AB4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1">
        <f>IF(tblOrdenes[[#This Row],[orden]]="","",_xlfn.XLOOKUP(tblOrdenes[[#This Row],[id_operacion]],tblEjecucion[id_operacion],tblEjecucion[precio],0))</f>
        <v/>
      </c>
      <c r="AJ449" s="11">
        <f>IF(tblOrdenes[[#This Row],[orden]]="","",MAX(0,_xlfn.XLOOKUP(tblOrdenes[[#This Row],[id_operacion]],tblEjecucion[id_operacion],tblEjecucion[costo_plan_total],0)-tblOrdenes[[#This Row],[costo_servicio]]))</f>
        <v/>
      </c>
      <c r="AK449" s="11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3">
        <f>IF(tblOrdenes[[#This Row],[fecha_inicio]]="","",TODAY()-tblOrdenes[[#This Row],[fecha_inicio]])</f>
        <v/>
      </c>
      <c r="AB4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1">
        <f>IF(tblOrdenes[[#This Row],[orden]]="","",_xlfn.XLOOKUP(tblOrdenes[[#This Row],[id_operacion]],tblEjecucion[id_operacion],tblEjecucion[precio],0))</f>
        <v/>
      </c>
      <c r="AJ450" s="11">
        <f>IF(tblOrdenes[[#This Row],[orden]]="","",MAX(0,_xlfn.XLOOKUP(tblOrdenes[[#This Row],[id_operacion]],tblEjecucion[id_operacion],tblEjecucion[costo_plan_total],0)-tblOrdenes[[#This Row],[costo_servicio]]))</f>
        <v/>
      </c>
      <c r="AK450" s="11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3">
        <f>IF(tblOrdenes[[#This Row],[fecha_inicio]]="","",TODAY()-tblOrdenes[[#This Row],[fecha_inicio]])</f>
        <v/>
      </c>
      <c r="AB4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1">
        <f>IF(tblOrdenes[[#This Row],[orden]]="","",_xlfn.XLOOKUP(tblOrdenes[[#This Row],[id_operacion]],tblEjecucion[id_operacion],tblEjecucion[precio],0))</f>
        <v/>
      </c>
      <c r="AJ451" s="11">
        <f>IF(tblOrdenes[[#This Row],[orden]]="","",MAX(0,_xlfn.XLOOKUP(tblOrdenes[[#This Row],[id_operacion]],tblEjecucion[id_operacion],tblEjecucion[costo_plan_total],0)-tblOrdenes[[#This Row],[costo_servicio]]))</f>
        <v/>
      </c>
      <c r="AK451" s="11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3">
        <f>IF(tblOrdenes[[#This Row],[fecha_inicio]]="","",TODAY()-tblOrdenes[[#This Row],[fecha_inicio]])</f>
        <v/>
      </c>
      <c r="AB4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1">
        <f>IF(tblOrdenes[[#This Row],[orden]]="","",_xlfn.XLOOKUP(tblOrdenes[[#This Row],[id_operacion]],tblEjecucion[id_operacion],tblEjecucion[precio],0))</f>
        <v/>
      </c>
      <c r="AJ452" s="11">
        <f>IF(tblOrdenes[[#This Row],[orden]]="","",MAX(0,_xlfn.XLOOKUP(tblOrdenes[[#This Row],[id_operacion]],tblEjecucion[id_operacion],tblEjecucion[costo_plan_total],0)-tblOrdenes[[#This Row],[costo_servicio]]))</f>
        <v/>
      </c>
      <c r="AK452" s="11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3">
        <f>IF(tblOrdenes[[#This Row],[fecha_inicio]]="","",TODAY()-tblOrdenes[[#This Row],[fecha_inicio]])</f>
        <v/>
      </c>
      <c r="AB4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1">
        <f>IF(tblOrdenes[[#This Row],[orden]]="","",_xlfn.XLOOKUP(tblOrdenes[[#This Row],[id_operacion]],tblEjecucion[id_operacion],tblEjecucion[precio],0))</f>
        <v/>
      </c>
      <c r="AJ453" s="11">
        <f>IF(tblOrdenes[[#This Row],[orden]]="","",MAX(0,_xlfn.XLOOKUP(tblOrdenes[[#This Row],[id_operacion]],tblEjecucion[id_operacion],tblEjecucion[costo_plan_total],0)-tblOrdenes[[#This Row],[costo_servicio]]))</f>
        <v/>
      </c>
      <c r="AK453" s="11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3">
        <f>IF(tblOrdenes[[#This Row],[fecha_inicio]]="","",TODAY()-tblOrdenes[[#This Row],[fecha_inicio]])</f>
        <v/>
      </c>
      <c r="AB4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1">
        <f>IF(tblOrdenes[[#This Row],[orden]]="","",_xlfn.XLOOKUP(tblOrdenes[[#This Row],[id_operacion]],tblEjecucion[id_operacion],tblEjecucion[precio],0))</f>
        <v/>
      </c>
      <c r="AJ454" s="11">
        <f>IF(tblOrdenes[[#This Row],[orden]]="","",MAX(0,_xlfn.XLOOKUP(tblOrdenes[[#This Row],[id_operacion]],tblEjecucion[id_operacion],tblEjecucion[costo_plan_total],0)-tblOrdenes[[#This Row],[costo_servicio]]))</f>
        <v/>
      </c>
      <c r="AK454" s="11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3">
        <f>IF(tblOrdenes[[#This Row],[fecha_inicio]]="","",TODAY()-tblOrdenes[[#This Row],[fecha_inicio]])</f>
        <v/>
      </c>
      <c r="AB4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1">
        <f>IF(tblOrdenes[[#This Row],[orden]]="","",_xlfn.XLOOKUP(tblOrdenes[[#This Row],[id_operacion]],tblEjecucion[id_operacion],tblEjecucion[precio],0))</f>
        <v/>
      </c>
      <c r="AJ455" s="11">
        <f>IF(tblOrdenes[[#This Row],[orden]]="","",MAX(0,_xlfn.XLOOKUP(tblOrdenes[[#This Row],[id_operacion]],tblEjecucion[id_operacion],tblEjecucion[costo_plan_total],0)-tblOrdenes[[#This Row],[costo_servicio]]))</f>
        <v/>
      </c>
      <c r="AK455" s="11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3">
        <f>IF(tblOrdenes[[#This Row],[fecha_inicio]]="","",TODAY()-tblOrdenes[[#This Row],[fecha_inicio]])</f>
        <v/>
      </c>
      <c r="AB4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1">
        <f>IF(tblOrdenes[[#This Row],[orden]]="","",_xlfn.XLOOKUP(tblOrdenes[[#This Row],[id_operacion]],tblEjecucion[id_operacion],tblEjecucion[precio],0))</f>
        <v/>
      </c>
      <c r="AJ456" s="11">
        <f>IF(tblOrdenes[[#This Row],[orden]]="","",MAX(0,_xlfn.XLOOKUP(tblOrdenes[[#This Row],[id_operacion]],tblEjecucion[id_operacion],tblEjecucion[costo_plan_total],0)-tblOrdenes[[#This Row],[costo_servicio]]))</f>
        <v/>
      </c>
      <c r="AK456" s="11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3">
        <f>IF(tblOrdenes[[#This Row],[fecha_inicio]]="","",TODAY()-tblOrdenes[[#This Row],[fecha_inicio]])</f>
        <v/>
      </c>
      <c r="AB4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1">
        <f>IF(tblOrdenes[[#This Row],[orden]]="","",_xlfn.XLOOKUP(tblOrdenes[[#This Row],[id_operacion]],tblEjecucion[id_operacion],tblEjecucion[precio],0))</f>
        <v/>
      </c>
      <c r="AJ457" s="11">
        <f>IF(tblOrdenes[[#This Row],[orden]]="","",MAX(0,_xlfn.XLOOKUP(tblOrdenes[[#This Row],[id_operacion]],tblEjecucion[id_operacion],tblEjecucion[costo_plan_total],0)-tblOrdenes[[#This Row],[costo_servicio]]))</f>
        <v/>
      </c>
      <c r="AK457" s="11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3">
        <f>IF(tblOrdenes[[#This Row],[fecha_inicio]]="","",TODAY()-tblOrdenes[[#This Row],[fecha_inicio]])</f>
        <v/>
      </c>
      <c r="AB4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1">
        <f>IF(tblOrdenes[[#This Row],[orden]]="","",_xlfn.XLOOKUP(tblOrdenes[[#This Row],[id_operacion]],tblEjecucion[id_operacion],tblEjecucion[precio],0))</f>
        <v/>
      </c>
      <c r="AJ458" s="11">
        <f>IF(tblOrdenes[[#This Row],[orden]]="","",MAX(0,_xlfn.XLOOKUP(tblOrdenes[[#This Row],[id_operacion]],tblEjecucion[id_operacion],tblEjecucion[costo_plan_total],0)-tblOrdenes[[#This Row],[costo_servicio]]))</f>
        <v/>
      </c>
      <c r="AK458" s="11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3">
        <f>IF(tblOrdenes[[#This Row],[fecha_inicio]]="","",TODAY()-tblOrdenes[[#This Row],[fecha_inicio]])</f>
        <v/>
      </c>
      <c r="AB4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1">
        <f>IF(tblOrdenes[[#This Row],[orden]]="","",_xlfn.XLOOKUP(tblOrdenes[[#This Row],[id_operacion]],tblEjecucion[id_operacion],tblEjecucion[precio],0))</f>
        <v/>
      </c>
      <c r="AJ459" s="11">
        <f>IF(tblOrdenes[[#This Row],[orden]]="","",MAX(0,_xlfn.XLOOKUP(tblOrdenes[[#This Row],[id_operacion]],tblEjecucion[id_operacion],tblEjecucion[costo_plan_total],0)-tblOrdenes[[#This Row],[costo_servicio]]))</f>
        <v/>
      </c>
      <c r="AK459" s="11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3">
        <f>IF(tblOrdenes[[#This Row],[fecha_inicio]]="","",TODAY()-tblOrdenes[[#This Row],[fecha_inicio]])</f>
        <v/>
      </c>
      <c r="AB4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1">
        <f>IF(tblOrdenes[[#This Row],[orden]]="","",_xlfn.XLOOKUP(tblOrdenes[[#This Row],[id_operacion]],tblEjecucion[id_operacion],tblEjecucion[precio],0))</f>
        <v/>
      </c>
      <c r="AJ460" s="11">
        <f>IF(tblOrdenes[[#This Row],[orden]]="","",MAX(0,_xlfn.XLOOKUP(tblOrdenes[[#This Row],[id_operacion]],tblEjecucion[id_operacion],tblEjecucion[costo_plan_total],0)-tblOrdenes[[#This Row],[costo_servicio]]))</f>
        <v/>
      </c>
      <c r="AK460" s="11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3">
        <f>IF(tblOrdenes[[#This Row],[fecha_inicio]]="","",TODAY()-tblOrdenes[[#This Row],[fecha_inicio]])</f>
        <v/>
      </c>
      <c r="AB4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1">
        <f>IF(tblOrdenes[[#This Row],[orden]]="","",_xlfn.XLOOKUP(tblOrdenes[[#This Row],[id_operacion]],tblEjecucion[id_operacion],tblEjecucion[precio],0))</f>
        <v/>
      </c>
      <c r="AJ461" s="11">
        <f>IF(tblOrdenes[[#This Row],[orden]]="","",MAX(0,_xlfn.XLOOKUP(tblOrdenes[[#This Row],[id_operacion]],tblEjecucion[id_operacion],tblEjecucion[costo_plan_total],0)-tblOrdenes[[#This Row],[costo_servicio]]))</f>
        <v/>
      </c>
      <c r="AK461" s="11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3">
        <f>IF(tblOrdenes[[#This Row],[fecha_inicio]]="","",TODAY()-tblOrdenes[[#This Row],[fecha_inicio]])</f>
        <v/>
      </c>
      <c r="AB4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1">
        <f>IF(tblOrdenes[[#This Row],[orden]]="","",_xlfn.XLOOKUP(tblOrdenes[[#This Row],[id_operacion]],tblEjecucion[id_operacion],tblEjecucion[precio],0))</f>
        <v/>
      </c>
      <c r="AJ462" s="11">
        <f>IF(tblOrdenes[[#This Row],[orden]]="","",MAX(0,_xlfn.XLOOKUP(tblOrdenes[[#This Row],[id_operacion]],tblEjecucion[id_operacion],tblEjecucion[costo_plan_total],0)-tblOrdenes[[#This Row],[costo_servicio]]))</f>
        <v/>
      </c>
      <c r="AK462" s="11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3">
        <f>IF(tblOrdenes[[#This Row],[fecha_inicio]]="","",TODAY()-tblOrdenes[[#This Row],[fecha_inicio]])</f>
        <v/>
      </c>
      <c r="AB4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1">
        <f>IF(tblOrdenes[[#This Row],[orden]]="","",_xlfn.XLOOKUP(tblOrdenes[[#This Row],[id_operacion]],tblEjecucion[id_operacion],tblEjecucion[precio],0))</f>
        <v/>
      </c>
      <c r="AJ463" s="11">
        <f>IF(tblOrdenes[[#This Row],[orden]]="","",MAX(0,_xlfn.XLOOKUP(tblOrdenes[[#This Row],[id_operacion]],tblEjecucion[id_operacion],tblEjecucion[costo_plan_total],0)-tblOrdenes[[#This Row],[costo_servicio]]))</f>
        <v/>
      </c>
      <c r="AK463" s="11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3">
        <f>IF(tblOrdenes[[#This Row],[fecha_inicio]]="","",TODAY()-tblOrdenes[[#This Row],[fecha_inicio]])</f>
        <v/>
      </c>
      <c r="AB4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1">
        <f>IF(tblOrdenes[[#This Row],[orden]]="","",_xlfn.XLOOKUP(tblOrdenes[[#This Row],[id_operacion]],tblEjecucion[id_operacion],tblEjecucion[precio],0))</f>
        <v/>
      </c>
      <c r="AJ464" s="11">
        <f>IF(tblOrdenes[[#This Row],[orden]]="","",MAX(0,_xlfn.XLOOKUP(tblOrdenes[[#This Row],[id_operacion]],tblEjecucion[id_operacion],tblEjecucion[costo_plan_total],0)-tblOrdenes[[#This Row],[costo_servicio]]))</f>
        <v/>
      </c>
      <c r="AK464" s="11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3">
        <f>IF(tblOrdenes[[#This Row],[fecha_inicio]]="","",TODAY()-tblOrdenes[[#This Row],[fecha_inicio]])</f>
        <v/>
      </c>
      <c r="AB4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1">
        <f>IF(tblOrdenes[[#This Row],[orden]]="","",_xlfn.XLOOKUP(tblOrdenes[[#This Row],[id_operacion]],tblEjecucion[id_operacion],tblEjecucion[precio],0))</f>
        <v/>
      </c>
      <c r="AJ465" s="11">
        <f>IF(tblOrdenes[[#This Row],[orden]]="","",MAX(0,_xlfn.XLOOKUP(tblOrdenes[[#This Row],[id_operacion]],tblEjecucion[id_operacion],tblEjecucion[costo_plan_total],0)-tblOrdenes[[#This Row],[costo_servicio]]))</f>
        <v/>
      </c>
      <c r="AK465" s="11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3">
        <f>IF(tblOrdenes[[#This Row],[fecha_inicio]]="","",TODAY()-tblOrdenes[[#This Row],[fecha_inicio]])</f>
        <v/>
      </c>
      <c r="AB4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1">
        <f>IF(tblOrdenes[[#This Row],[orden]]="","",_xlfn.XLOOKUP(tblOrdenes[[#This Row],[id_operacion]],tblEjecucion[id_operacion],tblEjecucion[precio],0))</f>
        <v/>
      </c>
      <c r="AJ466" s="11">
        <f>IF(tblOrdenes[[#This Row],[orden]]="","",MAX(0,_xlfn.XLOOKUP(tblOrdenes[[#This Row],[id_operacion]],tblEjecucion[id_operacion],tblEjecucion[costo_plan_total],0)-tblOrdenes[[#This Row],[costo_servicio]]))</f>
        <v/>
      </c>
      <c r="AK466" s="11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3">
        <f>IF(tblOrdenes[[#This Row],[fecha_inicio]]="","",TODAY()-tblOrdenes[[#This Row],[fecha_inicio]])</f>
        <v/>
      </c>
      <c r="AB4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1">
        <f>IF(tblOrdenes[[#This Row],[orden]]="","",_xlfn.XLOOKUP(tblOrdenes[[#This Row],[id_operacion]],tblEjecucion[id_operacion],tblEjecucion[precio],0))</f>
        <v/>
      </c>
      <c r="AJ467" s="11">
        <f>IF(tblOrdenes[[#This Row],[orden]]="","",MAX(0,_xlfn.XLOOKUP(tblOrdenes[[#This Row],[id_operacion]],tblEjecucion[id_operacion],tblEjecucion[costo_plan_total],0)-tblOrdenes[[#This Row],[costo_servicio]]))</f>
        <v/>
      </c>
      <c r="AK467" s="11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3">
        <f>IF(tblOrdenes[[#This Row],[fecha_inicio]]="","",TODAY()-tblOrdenes[[#This Row],[fecha_inicio]])</f>
        <v/>
      </c>
      <c r="AB4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1">
        <f>IF(tblOrdenes[[#This Row],[orden]]="","",_xlfn.XLOOKUP(tblOrdenes[[#This Row],[id_operacion]],tblEjecucion[id_operacion],tblEjecucion[precio],0))</f>
        <v/>
      </c>
      <c r="AJ468" s="11">
        <f>IF(tblOrdenes[[#This Row],[orden]]="","",MAX(0,_xlfn.XLOOKUP(tblOrdenes[[#This Row],[id_operacion]],tblEjecucion[id_operacion],tblEjecucion[costo_plan_total],0)-tblOrdenes[[#This Row],[costo_servicio]]))</f>
        <v/>
      </c>
      <c r="AK468" s="11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3">
        <f>IF(tblOrdenes[[#This Row],[fecha_inicio]]="","",TODAY()-tblOrdenes[[#This Row],[fecha_inicio]])</f>
        <v/>
      </c>
      <c r="AB4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1">
        <f>IF(tblOrdenes[[#This Row],[orden]]="","",_xlfn.XLOOKUP(tblOrdenes[[#This Row],[id_operacion]],tblEjecucion[id_operacion],tblEjecucion[precio],0))</f>
        <v/>
      </c>
      <c r="AJ469" s="11">
        <f>IF(tblOrdenes[[#This Row],[orden]]="","",MAX(0,_xlfn.XLOOKUP(tblOrdenes[[#This Row],[id_operacion]],tblEjecucion[id_operacion],tblEjecucion[costo_plan_total],0)-tblOrdenes[[#This Row],[costo_servicio]]))</f>
        <v/>
      </c>
      <c r="AK469" s="11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3">
        <f>IF(tblOrdenes[[#This Row],[fecha_inicio]]="","",TODAY()-tblOrdenes[[#This Row],[fecha_inicio]])</f>
        <v/>
      </c>
      <c r="AB4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1">
        <f>IF(tblOrdenes[[#This Row],[orden]]="","",_xlfn.XLOOKUP(tblOrdenes[[#This Row],[id_operacion]],tblEjecucion[id_operacion],tblEjecucion[precio],0))</f>
        <v/>
      </c>
      <c r="AJ470" s="11">
        <f>IF(tblOrdenes[[#This Row],[orden]]="","",MAX(0,_xlfn.XLOOKUP(tblOrdenes[[#This Row],[id_operacion]],tblEjecucion[id_operacion],tblEjecucion[costo_plan_total],0)-tblOrdenes[[#This Row],[costo_servicio]]))</f>
        <v/>
      </c>
      <c r="AK470" s="11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3">
        <f>IF(tblOrdenes[[#This Row],[fecha_inicio]]="","",TODAY()-tblOrdenes[[#This Row],[fecha_inicio]])</f>
        <v/>
      </c>
      <c r="AB4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1">
        <f>IF(tblOrdenes[[#This Row],[orden]]="","",_xlfn.XLOOKUP(tblOrdenes[[#This Row],[id_operacion]],tblEjecucion[id_operacion],tblEjecucion[precio],0))</f>
        <v/>
      </c>
      <c r="AJ471" s="11">
        <f>IF(tblOrdenes[[#This Row],[orden]]="","",MAX(0,_xlfn.XLOOKUP(tblOrdenes[[#This Row],[id_operacion]],tblEjecucion[id_operacion],tblEjecucion[costo_plan_total],0)-tblOrdenes[[#This Row],[costo_servicio]]))</f>
        <v/>
      </c>
      <c r="AK471" s="11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3">
        <f>IF(tblOrdenes[[#This Row],[fecha_inicio]]="","",TODAY()-tblOrdenes[[#This Row],[fecha_inicio]])</f>
        <v/>
      </c>
      <c r="AB4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1">
        <f>IF(tblOrdenes[[#This Row],[orden]]="","",_xlfn.XLOOKUP(tblOrdenes[[#This Row],[id_operacion]],tblEjecucion[id_operacion],tblEjecucion[precio],0))</f>
        <v/>
      </c>
      <c r="AJ472" s="11">
        <f>IF(tblOrdenes[[#This Row],[orden]]="","",MAX(0,_xlfn.XLOOKUP(tblOrdenes[[#This Row],[id_operacion]],tblEjecucion[id_operacion],tblEjecucion[costo_plan_total],0)-tblOrdenes[[#This Row],[costo_servicio]]))</f>
        <v/>
      </c>
      <c r="AK472" s="11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3">
        <f>IF(tblOrdenes[[#This Row],[fecha_inicio]]="","",TODAY()-tblOrdenes[[#This Row],[fecha_inicio]])</f>
        <v/>
      </c>
      <c r="AB4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1">
        <f>IF(tblOrdenes[[#This Row],[orden]]="","",_xlfn.XLOOKUP(tblOrdenes[[#This Row],[id_operacion]],tblEjecucion[id_operacion],tblEjecucion[precio],0))</f>
        <v/>
      </c>
      <c r="AJ473" s="11">
        <f>IF(tblOrdenes[[#This Row],[orden]]="","",MAX(0,_xlfn.XLOOKUP(tblOrdenes[[#This Row],[id_operacion]],tblEjecucion[id_operacion],tblEjecucion[costo_plan_total],0)-tblOrdenes[[#This Row],[costo_servicio]]))</f>
        <v/>
      </c>
      <c r="AK473" s="11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3">
        <f>IF(tblOrdenes[[#This Row],[fecha_inicio]]="","",TODAY()-tblOrdenes[[#This Row],[fecha_inicio]])</f>
        <v/>
      </c>
      <c r="AB4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1">
        <f>IF(tblOrdenes[[#This Row],[orden]]="","",_xlfn.XLOOKUP(tblOrdenes[[#This Row],[id_operacion]],tblEjecucion[id_operacion],tblEjecucion[precio],0))</f>
        <v/>
      </c>
      <c r="AJ474" s="11">
        <f>IF(tblOrdenes[[#This Row],[orden]]="","",MAX(0,_xlfn.XLOOKUP(tblOrdenes[[#This Row],[id_operacion]],tblEjecucion[id_operacion],tblEjecucion[costo_plan_total],0)-tblOrdenes[[#This Row],[costo_servicio]]))</f>
        <v/>
      </c>
      <c r="AK474" s="11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3">
        <f>IF(tblOrdenes[[#This Row],[fecha_inicio]]="","",TODAY()-tblOrdenes[[#This Row],[fecha_inicio]])</f>
        <v/>
      </c>
      <c r="AB4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1">
        <f>IF(tblOrdenes[[#This Row],[orden]]="","",_xlfn.XLOOKUP(tblOrdenes[[#This Row],[id_operacion]],tblEjecucion[id_operacion],tblEjecucion[precio],0))</f>
        <v/>
      </c>
      <c r="AJ475" s="11">
        <f>IF(tblOrdenes[[#This Row],[orden]]="","",MAX(0,_xlfn.XLOOKUP(tblOrdenes[[#This Row],[id_operacion]],tblEjecucion[id_operacion],tblEjecucion[costo_plan_total],0)-tblOrdenes[[#This Row],[costo_servicio]]))</f>
        <v/>
      </c>
      <c r="AK475" s="11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3">
        <f>IF(tblOrdenes[[#This Row],[fecha_inicio]]="","",TODAY()-tblOrdenes[[#This Row],[fecha_inicio]])</f>
        <v/>
      </c>
      <c r="AB4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1">
        <f>IF(tblOrdenes[[#This Row],[orden]]="","",_xlfn.XLOOKUP(tblOrdenes[[#This Row],[id_operacion]],tblEjecucion[id_operacion],tblEjecucion[precio],0))</f>
        <v/>
      </c>
      <c r="AJ476" s="11">
        <f>IF(tblOrdenes[[#This Row],[orden]]="","",MAX(0,_xlfn.XLOOKUP(tblOrdenes[[#This Row],[id_operacion]],tblEjecucion[id_operacion],tblEjecucion[costo_plan_total],0)-tblOrdenes[[#This Row],[costo_servicio]]))</f>
        <v/>
      </c>
      <c r="AK476" s="11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3">
        <f>IF(tblOrdenes[[#This Row],[fecha_inicio]]="","",TODAY()-tblOrdenes[[#This Row],[fecha_inicio]])</f>
        <v/>
      </c>
      <c r="AB4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1">
        <f>IF(tblOrdenes[[#This Row],[orden]]="","",_xlfn.XLOOKUP(tblOrdenes[[#This Row],[id_operacion]],tblEjecucion[id_operacion],tblEjecucion[precio],0))</f>
        <v/>
      </c>
      <c r="AJ477" s="11">
        <f>IF(tblOrdenes[[#This Row],[orden]]="","",MAX(0,_xlfn.XLOOKUP(tblOrdenes[[#This Row],[id_operacion]],tblEjecucion[id_operacion],tblEjecucion[costo_plan_total],0)-tblOrdenes[[#This Row],[costo_servicio]]))</f>
        <v/>
      </c>
      <c r="AK477" s="11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3">
        <f>IF(tblOrdenes[[#This Row],[fecha_inicio]]="","",TODAY()-tblOrdenes[[#This Row],[fecha_inicio]])</f>
        <v/>
      </c>
      <c r="AB4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1">
        <f>IF(tblOrdenes[[#This Row],[orden]]="","",_xlfn.XLOOKUP(tblOrdenes[[#This Row],[id_operacion]],tblEjecucion[id_operacion],tblEjecucion[precio],0))</f>
        <v/>
      </c>
      <c r="AJ478" s="11">
        <f>IF(tblOrdenes[[#This Row],[orden]]="","",MAX(0,_xlfn.XLOOKUP(tblOrdenes[[#This Row],[id_operacion]],tblEjecucion[id_operacion],tblEjecucion[costo_plan_total],0)-tblOrdenes[[#This Row],[costo_servicio]]))</f>
        <v/>
      </c>
      <c r="AK478" s="11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3">
        <f>IF(tblOrdenes[[#This Row],[fecha_inicio]]="","",TODAY()-tblOrdenes[[#This Row],[fecha_inicio]])</f>
        <v/>
      </c>
      <c r="AB4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1">
        <f>IF(tblOrdenes[[#This Row],[orden]]="","",_xlfn.XLOOKUP(tblOrdenes[[#This Row],[id_operacion]],tblEjecucion[id_operacion],tblEjecucion[precio],0))</f>
        <v/>
      </c>
      <c r="AJ479" s="11">
        <f>IF(tblOrdenes[[#This Row],[orden]]="","",MAX(0,_xlfn.XLOOKUP(tblOrdenes[[#This Row],[id_operacion]],tblEjecucion[id_operacion],tblEjecucion[costo_plan_total],0)-tblOrdenes[[#This Row],[costo_servicio]]))</f>
        <v/>
      </c>
      <c r="AK479" s="11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3">
        <f>IF(tblOrdenes[[#This Row],[fecha_inicio]]="","",TODAY()-tblOrdenes[[#This Row],[fecha_inicio]])</f>
        <v/>
      </c>
      <c r="AB4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1">
        <f>IF(tblOrdenes[[#This Row],[orden]]="","",_xlfn.XLOOKUP(tblOrdenes[[#This Row],[id_operacion]],tblEjecucion[id_operacion],tblEjecucion[precio],0))</f>
        <v/>
      </c>
      <c r="AJ480" s="11">
        <f>IF(tblOrdenes[[#This Row],[orden]]="","",MAX(0,_xlfn.XLOOKUP(tblOrdenes[[#This Row],[id_operacion]],tblEjecucion[id_operacion],tblEjecucion[costo_plan_total],0)-tblOrdenes[[#This Row],[costo_servicio]]))</f>
        <v/>
      </c>
      <c r="AK480" s="11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3">
        <f>IF(tblOrdenes[[#This Row],[fecha_inicio]]="","",TODAY()-tblOrdenes[[#This Row],[fecha_inicio]])</f>
        <v/>
      </c>
      <c r="AB4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1">
        <f>IF(tblOrdenes[[#This Row],[orden]]="","",_xlfn.XLOOKUP(tblOrdenes[[#This Row],[id_operacion]],tblEjecucion[id_operacion],tblEjecucion[precio],0))</f>
        <v/>
      </c>
      <c r="AJ481" s="11">
        <f>IF(tblOrdenes[[#This Row],[orden]]="","",MAX(0,_xlfn.XLOOKUP(tblOrdenes[[#This Row],[id_operacion]],tblEjecucion[id_operacion],tblEjecucion[costo_plan_total],0)-tblOrdenes[[#This Row],[costo_servicio]]))</f>
        <v/>
      </c>
      <c r="AK481" s="11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3">
        <f>IF(tblOrdenes[[#This Row],[fecha_inicio]]="","",TODAY()-tblOrdenes[[#This Row],[fecha_inicio]])</f>
        <v/>
      </c>
      <c r="AB4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1">
        <f>IF(tblOrdenes[[#This Row],[orden]]="","",_xlfn.XLOOKUP(tblOrdenes[[#This Row],[id_operacion]],tblEjecucion[id_operacion],tblEjecucion[precio],0))</f>
        <v/>
      </c>
      <c r="AJ482" s="11">
        <f>IF(tblOrdenes[[#This Row],[orden]]="","",MAX(0,_xlfn.XLOOKUP(tblOrdenes[[#This Row],[id_operacion]],tblEjecucion[id_operacion],tblEjecucion[costo_plan_total],0)-tblOrdenes[[#This Row],[costo_servicio]]))</f>
        <v/>
      </c>
      <c r="AK482" s="11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3">
        <f>IF(tblOrdenes[[#This Row],[fecha_inicio]]="","",TODAY()-tblOrdenes[[#This Row],[fecha_inicio]])</f>
        <v/>
      </c>
      <c r="AB4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1">
        <f>IF(tblOrdenes[[#This Row],[orden]]="","",_xlfn.XLOOKUP(tblOrdenes[[#This Row],[id_operacion]],tblEjecucion[id_operacion],tblEjecucion[precio],0))</f>
        <v/>
      </c>
      <c r="AJ483" s="11">
        <f>IF(tblOrdenes[[#This Row],[orden]]="","",MAX(0,_xlfn.XLOOKUP(tblOrdenes[[#This Row],[id_operacion]],tblEjecucion[id_operacion],tblEjecucion[costo_plan_total],0)-tblOrdenes[[#This Row],[costo_servicio]]))</f>
        <v/>
      </c>
      <c r="AK483" s="11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3">
        <f>IF(tblOrdenes[[#This Row],[fecha_inicio]]="","",TODAY()-tblOrdenes[[#This Row],[fecha_inicio]])</f>
        <v/>
      </c>
      <c r="AB4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1">
        <f>IF(tblOrdenes[[#This Row],[orden]]="","",_xlfn.XLOOKUP(tblOrdenes[[#This Row],[id_operacion]],tblEjecucion[id_operacion],tblEjecucion[precio],0))</f>
        <v/>
      </c>
      <c r="AJ484" s="11">
        <f>IF(tblOrdenes[[#This Row],[orden]]="","",MAX(0,_xlfn.XLOOKUP(tblOrdenes[[#This Row],[id_operacion]],tblEjecucion[id_operacion],tblEjecucion[costo_plan_total],0)-tblOrdenes[[#This Row],[costo_servicio]]))</f>
        <v/>
      </c>
      <c r="AK484" s="11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3">
        <f>IF(tblOrdenes[[#This Row],[fecha_inicio]]="","",TODAY()-tblOrdenes[[#This Row],[fecha_inicio]])</f>
        <v/>
      </c>
      <c r="AB4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1">
        <f>IF(tblOrdenes[[#This Row],[orden]]="","",_xlfn.XLOOKUP(tblOrdenes[[#This Row],[id_operacion]],tblEjecucion[id_operacion],tblEjecucion[precio],0))</f>
        <v/>
      </c>
      <c r="AJ485" s="11">
        <f>IF(tblOrdenes[[#This Row],[orden]]="","",MAX(0,_xlfn.XLOOKUP(tblOrdenes[[#This Row],[id_operacion]],tblEjecucion[id_operacion],tblEjecucion[costo_plan_total],0)-tblOrdenes[[#This Row],[costo_servicio]]))</f>
        <v/>
      </c>
      <c r="AK485" s="11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3">
        <f>IF(tblOrdenes[[#This Row],[fecha_inicio]]="","",TODAY()-tblOrdenes[[#This Row],[fecha_inicio]])</f>
        <v/>
      </c>
      <c r="AB4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1">
        <f>IF(tblOrdenes[[#This Row],[orden]]="","",_xlfn.XLOOKUP(tblOrdenes[[#This Row],[id_operacion]],tblEjecucion[id_operacion],tblEjecucion[precio],0))</f>
        <v/>
      </c>
      <c r="AJ486" s="11">
        <f>IF(tblOrdenes[[#This Row],[orden]]="","",MAX(0,_xlfn.XLOOKUP(tblOrdenes[[#This Row],[id_operacion]],tblEjecucion[id_operacion],tblEjecucion[costo_plan_total],0)-tblOrdenes[[#This Row],[costo_servicio]]))</f>
        <v/>
      </c>
      <c r="AK486" s="11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3">
        <f>IF(tblOrdenes[[#This Row],[fecha_inicio]]="","",TODAY()-tblOrdenes[[#This Row],[fecha_inicio]])</f>
        <v/>
      </c>
      <c r="AB4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1">
        <f>IF(tblOrdenes[[#This Row],[orden]]="","",_xlfn.XLOOKUP(tblOrdenes[[#This Row],[id_operacion]],tblEjecucion[id_operacion],tblEjecucion[precio],0))</f>
        <v/>
      </c>
      <c r="AJ487" s="11">
        <f>IF(tblOrdenes[[#This Row],[orden]]="","",MAX(0,_xlfn.XLOOKUP(tblOrdenes[[#This Row],[id_operacion]],tblEjecucion[id_operacion],tblEjecucion[costo_plan_total],0)-tblOrdenes[[#This Row],[costo_servicio]]))</f>
        <v/>
      </c>
      <c r="AK487" s="11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3">
        <f>IF(tblOrdenes[[#This Row],[fecha_inicio]]="","",TODAY()-tblOrdenes[[#This Row],[fecha_inicio]])</f>
        <v/>
      </c>
      <c r="AB4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1">
        <f>IF(tblOrdenes[[#This Row],[orden]]="","",_xlfn.XLOOKUP(tblOrdenes[[#This Row],[id_operacion]],tblEjecucion[id_operacion],tblEjecucion[precio],0))</f>
        <v/>
      </c>
      <c r="AJ488" s="11">
        <f>IF(tblOrdenes[[#This Row],[orden]]="","",MAX(0,_xlfn.XLOOKUP(tblOrdenes[[#This Row],[id_operacion]],tblEjecucion[id_operacion],tblEjecucion[costo_plan_total],0)-tblOrdenes[[#This Row],[costo_servicio]]))</f>
        <v/>
      </c>
      <c r="AK488" s="11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3">
        <f>IF(tblOrdenes[[#This Row],[fecha_inicio]]="","",TODAY()-tblOrdenes[[#This Row],[fecha_inicio]])</f>
        <v/>
      </c>
      <c r="AB4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1">
        <f>IF(tblOrdenes[[#This Row],[orden]]="","",_xlfn.XLOOKUP(tblOrdenes[[#This Row],[id_operacion]],tblEjecucion[id_operacion],tblEjecucion[precio],0))</f>
        <v/>
      </c>
      <c r="AJ489" s="11">
        <f>IF(tblOrdenes[[#This Row],[orden]]="","",MAX(0,_xlfn.XLOOKUP(tblOrdenes[[#This Row],[id_operacion]],tblEjecucion[id_operacion],tblEjecucion[costo_plan_total],0)-tblOrdenes[[#This Row],[costo_servicio]]))</f>
        <v/>
      </c>
      <c r="AK489" s="11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3">
        <f>IF(tblOrdenes[[#This Row],[fecha_inicio]]="","",TODAY()-tblOrdenes[[#This Row],[fecha_inicio]])</f>
        <v/>
      </c>
      <c r="AB4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1">
        <f>IF(tblOrdenes[[#This Row],[orden]]="","",_xlfn.XLOOKUP(tblOrdenes[[#This Row],[id_operacion]],tblEjecucion[id_operacion],tblEjecucion[precio],0))</f>
        <v/>
      </c>
      <c r="AJ490" s="11">
        <f>IF(tblOrdenes[[#This Row],[orden]]="","",MAX(0,_xlfn.XLOOKUP(tblOrdenes[[#This Row],[id_operacion]],tblEjecucion[id_operacion],tblEjecucion[costo_plan_total],0)-tblOrdenes[[#This Row],[costo_servicio]]))</f>
        <v/>
      </c>
      <c r="AK490" s="11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3">
        <f>IF(tblOrdenes[[#This Row],[fecha_inicio]]="","",TODAY()-tblOrdenes[[#This Row],[fecha_inicio]])</f>
        <v/>
      </c>
      <c r="AB4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1">
        <f>IF(tblOrdenes[[#This Row],[orden]]="","",_xlfn.XLOOKUP(tblOrdenes[[#This Row],[id_operacion]],tblEjecucion[id_operacion],tblEjecucion[precio],0))</f>
        <v/>
      </c>
      <c r="AJ491" s="11">
        <f>IF(tblOrdenes[[#This Row],[orden]]="","",MAX(0,_xlfn.XLOOKUP(tblOrdenes[[#This Row],[id_operacion]],tblEjecucion[id_operacion],tblEjecucion[costo_plan_total],0)-tblOrdenes[[#This Row],[costo_servicio]]))</f>
        <v/>
      </c>
      <c r="AK491" s="11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3">
        <f>IF(tblOrdenes[[#This Row],[fecha_inicio]]="","",TODAY()-tblOrdenes[[#This Row],[fecha_inicio]])</f>
        <v/>
      </c>
      <c r="AB4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1">
        <f>IF(tblOrdenes[[#This Row],[orden]]="","",_xlfn.XLOOKUP(tblOrdenes[[#This Row],[id_operacion]],tblEjecucion[id_operacion],tblEjecucion[precio],0))</f>
        <v/>
      </c>
      <c r="AJ492" s="11">
        <f>IF(tblOrdenes[[#This Row],[orden]]="","",MAX(0,_xlfn.XLOOKUP(tblOrdenes[[#This Row],[id_operacion]],tblEjecucion[id_operacion],tblEjecucion[costo_plan_total],0)-tblOrdenes[[#This Row],[costo_servicio]]))</f>
        <v/>
      </c>
      <c r="AK492" s="11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3">
        <f>IF(tblOrdenes[[#This Row],[fecha_inicio]]="","",TODAY()-tblOrdenes[[#This Row],[fecha_inicio]])</f>
        <v/>
      </c>
      <c r="AB4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1">
        <f>IF(tblOrdenes[[#This Row],[orden]]="","",_xlfn.XLOOKUP(tblOrdenes[[#This Row],[id_operacion]],tblEjecucion[id_operacion],tblEjecucion[precio],0))</f>
        <v/>
      </c>
      <c r="AJ493" s="11">
        <f>IF(tblOrdenes[[#This Row],[orden]]="","",MAX(0,_xlfn.XLOOKUP(tblOrdenes[[#This Row],[id_operacion]],tblEjecucion[id_operacion],tblEjecucion[costo_plan_total],0)-tblOrdenes[[#This Row],[costo_servicio]]))</f>
        <v/>
      </c>
      <c r="AK493" s="11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3">
        <f>IF(tblOrdenes[[#This Row],[fecha_inicio]]="","",TODAY()-tblOrdenes[[#This Row],[fecha_inicio]])</f>
        <v/>
      </c>
      <c r="AB4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1">
        <f>IF(tblOrdenes[[#This Row],[orden]]="","",_xlfn.XLOOKUP(tblOrdenes[[#This Row],[id_operacion]],tblEjecucion[id_operacion],tblEjecucion[precio],0))</f>
        <v/>
      </c>
      <c r="AJ494" s="11">
        <f>IF(tblOrdenes[[#This Row],[orden]]="","",MAX(0,_xlfn.XLOOKUP(tblOrdenes[[#This Row],[id_operacion]],tblEjecucion[id_operacion],tblEjecucion[costo_plan_total],0)-tblOrdenes[[#This Row],[costo_servicio]]))</f>
        <v/>
      </c>
      <c r="AK494" s="11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3">
        <f>IF(tblOrdenes[[#This Row],[fecha_inicio]]="","",TODAY()-tblOrdenes[[#This Row],[fecha_inicio]])</f>
        <v/>
      </c>
      <c r="AB4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1">
        <f>IF(tblOrdenes[[#This Row],[orden]]="","",_xlfn.XLOOKUP(tblOrdenes[[#This Row],[id_operacion]],tblEjecucion[id_operacion],tblEjecucion[precio],0))</f>
        <v/>
      </c>
      <c r="AJ495" s="11">
        <f>IF(tblOrdenes[[#This Row],[orden]]="","",MAX(0,_xlfn.XLOOKUP(tblOrdenes[[#This Row],[id_operacion]],tblEjecucion[id_operacion],tblEjecucion[costo_plan_total],0)-tblOrdenes[[#This Row],[costo_servicio]]))</f>
        <v/>
      </c>
      <c r="AK495" s="11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3">
        <f>IF(tblOrdenes[[#This Row],[fecha_inicio]]="","",TODAY()-tblOrdenes[[#This Row],[fecha_inicio]])</f>
        <v/>
      </c>
      <c r="AB4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1">
        <f>IF(tblOrdenes[[#This Row],[orden]]="","",_xlfn.XLOOKUP(tblOrdenes[[#This Row],[id_operacion]],tblEjecucion[id_operacion],tblEjecucion[precio],0))</f>
        <v/>
      </c>
      <c r="AJ496" s="11">
        <f>IF(tblOrdenes[[#This Row],[orden]]="","",MAX(0,_xlfn.XLOOKUP(tblOrdenes[[#This Row],[id_operacion]],tblEjecucion[id_operacion],tblEjecucion[costo_plan_total],0)-tblOrdenes[[#This Row],[costo_servicio]]))</f>
        <v/>
      </c>
      <c r="AK496" s="11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3">
        <f>IF(tblOrdenes[[#This Row],[fecha_inicio]]="","",TODAY()-tblOrdenes[[#This Row],[fecha_inicio]])</f>
        <v/>
      </c>
      <c r="AB4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1">
        <f>IF(tblOrdenes[[#This Row],[orden]]="","",_xlfn.XLOOKUP(tblOrdenes[[#This Row],[id_operacion]],tblEjecucion[id_operacion],tblEjecucion[precio],0))</f>
        <v/>
      </c>
      <c r="AJ497" s="11">
        <f>IF(tblOrdenes[[#This Row],[orden]]="","",MAX(0,_xlfn.XLOOKUP(tblOrdenes[[#This Row],[id_operacion]],tblEjecucion[id_operacion],tblEjecucion[costo_plan_total],0)-tblOrdenes[[#This Row],[costo_servicio]]))</f>
        <v/>
      </c>
      <c r="AK497" s="11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3">
        <f>IF(tblOrdenes[[#This Row],[fecha_inicio]]="","",TODAY()-tblOrdenes[[#This Row],[fecha_inicio]])</f>
        <v/>
      </c>
      <c r="AB4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1">
        <f>IF(tblOrdenes[[#This Row],[orden]]="","",_xlfn.XLOOKUP(tblOrdenes[[#This Row],[id_operacion]],tblEjecucion[id_operacion],tblEjecucion[precio],0))</f>
        <v/>
      </c>
      <c r="AJ498" s="11">
        <f>IF(tblOrdenes[[#This Row],[orden]]="","",MAX(0,_xlfn.XLOOKUP(tblOrdenes[[#This Row],[id_operacion]],tblEjecucion[id_operacion],tblEjecucion[costo_plan_total],0)-tblOrdenes[[#This Row],[costo_servicio]]))</f>
        <v/>
      </c>
      <c r="AK498" s="11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3">
        <f>IF(tblOrdenes[[#This Row],[fecha_inicio]]="","",TODAY()-tblOrdenes[[#This Row],[fecha_inicio]])</f>
        <v/>
      </c>
      <c r="AB4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1">
        <f>IF(tblOrdenes[[#This Row],[orden]]="","",_xlfn.XLOOKUP(tblOrdenes[[#This Row],[id_operacion]],tblEjecucion[id_operacion],tblEjecucion[precio],0))</f>
        <v/>
      </c>
      <c r="AJ499" s="11">
        <f>IF(tblOrdenes[[#This Row],[orden]]="","",MAX(0,_xlfn.XLOOKUP(tblOrdenes[[#This Row],[id_operacion]],tblEjecucion[id_operacion],tblEjecucion[costo_plan_total],0)-tblOrdenes[[#This Row],[costo_servicio]]))</f>
        <v/>
      </c>
      <c r="AK499" s="11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3">
        <f>IF(tblOrdenes[[#This Row],[fecha_inicio]]="","",TODAY()-tblOrdenes[[#This Row],[fecha_inicio]])</f>
        <v/>
      </c>
      <c r="AB5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1">
        <f>IF(tblOrdenes[[#This Row],[orden]]="","",_xlfn.XLOOKUP(tblOrdenes[[#This Row],[id_operacion]],tblEjecucion[id_operacion],tblEjecucion[precio],0))</f>
        <v/>
      </c>
      <c r="AJ500" s="11">
        <f>IF(tblOrdenes[[#This Row],[orden]]="","",MAX(0,_xlfn.XLOOKUP(tblOrdenes[[#This Row],[id_operacion]],tblEjecucion[id_operacion],tblEjecucion[costo_plan_total],0)-tblOrdenes[[#This Row],[costo_servicio]]))</f>
        <v/>
      </c>
      <c r="AK500" s="11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3">
        <f>IF(tblOrdenes[[#This Row],[fecha_inicio]]="","",TODAY()-tblOrdenes[[#This Row],[fecha_inicio]])</f>
        <v/>
      </c>
      <c r="AB5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1">
        <f>IF(tblOrdenes[[#This Row],[orden]]="","",_xlfn.XLOOKUP(tblOrdenes[[#This Row],[id_operacion]],tblEjecucion[id_operacion],tblEjecucion[precio],0))</f>
        <v/>
      </c>
      <c r="AJ501" s="11">
        <f>IF(tblOrdenes[[#This Row],[orden]]="","",MAX(0,_xlfn.XLOOKUP(tblOrdenes[[#This Row],[id_operacion]],tblEjecucion[id_operacion],tblEjecucion[costo_plan_total],0)-tblOrdenes[[#This Row],[costo_servicio]]))</f>
        <v/>
      </c>
      <c r="AK501" s="11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3">
        <f>IF(tblOrdenes[[#This Row],[fecha_inicio]]="","",TODAY()-tblOrdenes[[#This Row],[fecha_inicio]])</f>
        <v/>
      </c>
      <c r="AB5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1">
        <f>IF(tblOrdenes[[#This Row],[orden]]="","",_xlfn.XLOOKUP(tblOrdenes[[#This Row],[id_operacion]],tblEjecucion[id_operacion],tblEjecucion[precio],0))</f>
        <v/>
      </c>
      <c r="AJ502" s="11">
        <f>IF(tblOrdenes[[#This Row],[orden]]="","",MAX(0,_xlfn.XLOOKUP(tblOrdenes[[#This Row],[id_operacion]],tblEjecucion[id_operacion],tblEjecucion[costo_plan_total],0)-tblOrdenes[[#This Row],[costo_servicio]]))</f>
        <v/>
      </c>
      <c r="AK502" s="11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3">
        <f>IF(tblOrdenes[[#This Row],[fecha_inicio]]="","",TODAY()-tblOrdenes[[#This Row],[fecha_inicio]])</f>
        <v/>
      </c>
      <c r="AB5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1">
        <f>IF(tblOrdenes[[#This Row],[orden]]="","",_xlfn.XLOOKUP(tblOrdenes[[#This Row],[id_operacion]],tblEjecucion[id_operacion],tblEjecucion[precio],0))</f>
        <v/>
      </c>
      <c r="AJ503" s="11">
        <f>IF(tblOrdenes[[#This Row],[orden]]="","",MAX(0,_xlfn.XLOOKUP(tblOrdenes[[#This Row],[id_operacion]],tblEjecucion[id_operacion],tblEjecucion[costo_plan_total],0)-tblOrdenes[[#This Row],[costo_servicio]]))</f>
        <v/>
      </c>
      <c r="AK503" s="11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3">
        <f>IF(tblOrdenes[[#This Row],[fecha_inicio]]="","",TODAY()-tblOrdenes[[#This Row],[fecha_inicio]])</f>
        <v/>
      </c>
      <c r="AB5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1">
        <f>IF(tblOrdenes[[#This Row],[orden]]="","",_xlfn.XLOOKUP(tblOrdenes[[#This Row],[id_operacion]],tblEjecucion[id_operacion],tblEjecucion[precio],0))</f>
        <v/>
      </c>
      <c r="AJ504" s="11">
        <f>IF(tblOrdenes[[#This Row],[orden]]="","",MAX(0,_xlfn.XLOOKUP(tblOrdenes[[#This Row],[id_operacion]],tblEjecucion[id_operacion],tblEjecucion[costo_plan_total],0)-tblOrdenes[[#This Row],[costo_servicio]]))</f>
        <v/>
      </c>
      <c r="AK504" s="11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3">
        <f>IF(tblOrdenes[[#This Row],[fecha_inicio]]="","",TODAY()-tblOrdenes[[#This Row],[fecha_inicio]])</f>
        <v/>
      </c>
      <c r="AB5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1">
        <f>IF(tblOrdenes[[#This Row],[orden]]="","",_xlfn.XLOOKUP(tblOrdenes[[#This Row],[id_operacion]],tblEjecucion[id_operacion],tblEjecucion[precio],0))</f>
        <v/>
      </c>
      <c r="AJ505" s="11">
        <f>IF(tblOrdenes[[#This Row],[orden]]="","",MAX(0,_xlfn.XLOOKUP(tblOrdenes[[#This Row],[id_operacion]],tblEjecucion[id_operacion],tblEjecucion[costo_plan_total],0)-tblOrdenes[[#This Row],[costo_servicio]]))</f>
        <v/>
      </c>
      <c r="AK505" s="11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3">
        <f>IF(tblOrdenes[[#This Row],[fecha_inicio]]="","",TODAY()-tblOrdenes[[#This Row],[fecha_inicio]])</f>
        <v/>
      </c>
      <c r="AB5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1">
        <f>IF(tblOrdenes[[#This Row],[orden]]="","",_xlfn.XLOOKUP(tblOrdenes[[#This Row],[id_operacion]],tblEjecucion[id_operacion],tblEjecucion[precio],0))</f>
        <v/>
      </c>
      <c r="AJ506" s="11">
        <f>IF(tblOrdenes[[#This Row],[orden]]="","",MAX(0,_xlfn.XLOOKUP(tblOrdenes[[#This Row],[id_operacion]],tblEjecucion[id_operacion],tblEjecucion[costo_plan_total],0)-tblOrdenes[[#This Row],[costo_servicio]]))</f>
        <v/>
      </c>
      <c r="AK506" s="11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3">
        <f>IF(tblOrdenes[[#This Row],[fecha_inicio]]="","",TODAY()-tblOrdenes[[#This Row],[fecha_inicio]])</f>
        <v/>
      </c>
      <c r="AB5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1">
        <f>IF(tblOrdenes[[#This Row],[orden]]="","",_xlfn.XLOOKUP(tblOrdenes[[#This Row],[id_operacion]],tblEjecucion[id_operacion],tblEjecucion[precio],0))</f>
        <v/>
      </c>
      <c r="AJ507" s="11">
        <f>IF(tblOrdenes[[#This Row],[orden]]="","",MAX(0,_xlfn.XLOOKUP(tblOrdenes[[#This Row],[id_operacion]],tblEjecucion[id_operacion],tblEjecucion[costo_plan_total],0)-tblOrdenes[[#This Row],[costo_servicio]]))</f>
        <v/>
      </c>
      <c r="AK507" s="11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3">
        <f>IF(tblOrdenes[[#This Row],[fecha_inicio]]="","",TODAY()-tblOrdenes[[#This Row],[fecha_inicio]])</f>
        <v/>
      </c>
      <c r="AB5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1">
        <f>IF(tblOrdenes[[#This Row],[orden]]="","",_xlfn.XLOOKUP(tblOrdenes[[#This Row],[id_operacion]],tblEjecucion[id_operacion],tblEjecucion[precio],0))</f>
        <v/>
      </c>
      <c r="AJ508" s="11">
        <f>IF(tblOrdenes[[#This Row],[orden]]="","",MAX(0,_xlfn.XLOOKUP(tblOrdenes[[#This Row],[id_operacion]],tblEjecucion[id_operacion],tblEjecucion[costo_plan_total],0)-tblOrdenes[[#This Row],[costo_servicio]]))</f>
        <v/>
      </c>
      <c r="AK508" s="11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3">
        <f>IF(tblOrdenes[[#This Row],[fecha_inicio]]="","",TODAY()-tblOrdenes[[#This Row],[fecha_inicio]])</f>
        <v/>
      </c>
      <c r="AB5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1">
        <f>IF(tblOrdenes[[#This Row],[orden]]="","",_xlfn.XLOOKUP(tblOrdenes[[#This Row],[id_operacion]],tblEjecucion[id_operacion],tblEjecucion[precio],0))</f>
        <v/>
      </c>
      <c r="AJ509" s="11">
        <f>IF(tblOrdenes[[#This Row],[orden]]="","",MAX(0,_xlfn.XLOOKUP(tblOrdenes[[#This Row],[id_operacion]],tblEjecucion[id_operacion],tblEjecucion[costo_plan_total],0)-tblOrdenes[[#This Row],[costo_servicio]]))</f>
        <v/>
      </c>
      <c r="AK509" s="11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3">
        <f>IF(tblOrdenes[[#This Row],[fecha_inicio]]="","",TODAY()-tblOrdenes[[#This Row],[fecha_inicio]])</f>
        <v/>
      </c>
      <c r="AB5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1">
        <f>IF(tblOrdenes[[#This Row],[orden]]="","",_xlfn.XLOOKUP(tblOrdenes[[#This Row],[id_operacion]],tblEjecucion[id_operacion],tblEjecucion[precio],0))</f>
        <v/>
      </c>
      <c r="AJ510" s="11">
        <f>IF(tblOrdenes[[#This Row],[orden]]="","",MAX(0,_xlfn.XLOOKUP(tblOrdenes[[#This Row],[id_operacion]],tblEjecucion[id_operacion],tblEjecucion[costo_plan_total],0)-tblOrdenes[[#This Row],[costo_servicio]]))</f>
        <v/>
      </c>
      <c r="AK510" s="11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3">
        <f>IF(tblOrdenes[[#This Row],[fecha_inicio]]="","",TODAY()-tblOrdenes[[#This Row],[fecha_inicio]])</f>
        <v/>
      </c>
      <c r="AB5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1">
        <f>IF(tblOrdenes[[#This Row],[orden]]="","",_xlfn.XLOOKUP(tblOrdenes[[#This Row],[id_operacion]],tblEjecucion[id_operacion],tblEjecucion[precio],0))</f>
        <v/>
      </c>
      <c r="AJ511" s="11">
        <f>IF(tblOrdenes[[#This Row],[orden]]="","",MAX(0,_xlfn.XLOOKUP(tblOrdenes[[#This Row],[id_operacion]],tblEjecucion[id_operacion],tblEjecucion[costo_plan_total],0)-tblOrdenes[[#This Row],[costo_servicio]]))</f>
        <v/>
      </c>
      <c r="AK511" s="11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3">
        <f>IF(tblOrdenes[[#This Row],[fecha_inicio]]="","",TODAY()-tblOrdenes[[#This Row],[fecha_inicio]])</f>
        <v/>
      </c>
      <c r="AB5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1">
        <f>IF(tblOrdenes[[#This Row],[orden]]="","",_xlfn.XLOOKUP(tblOrdenes[[#This Row],[id_operacion]],tblEjecucion[id_operacion],tblEjecucion[precio],0))</f>
        <v/>
      </c>
      <c r="AJ512" s="11">
        <f>IF(tblOrdenes[[#This Row],[orden]]="","",MAX(0,_xlfn.XLOOKUP(tblOrdenes[[#This Row],[id_operacion]],tblEjecucion[id_operacion],tblEjecucion[costo_plan_total],0)-tblOrdenes[[#This Row],[costo_servicio]]))</f>
        <v/>
      </c>
      <c r="AK512" s="11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3">
        <f>IF(tblOrdenes[[#This Row],[fecha_inicio]]="","",TODAY()-tblOrdenes[[#This Row],[fecha_inicio]])</f>
        <v/>
      </c>
      <c r="AB5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1">
        <f>IF(tblOrdenes[[#This Row],[orden]]="","",_xlfn.XLOOKUP(tblOrdenes[[#This Row],[id_operacion]],tblEjecucion[id_operacion],tblEjecucion[precio],0))</f>
        <v/>
      </c>
      <c r="AJ513" s="11">
        <f>IF(tblOrdenes[[#This Row],[orden]]="","",MAX(0,_xlfn.XLOOKUP(tblOrdenes[[#This Row],[id_operacion]],tblEjecucion[id_operacion],tblEjecucion[costo_plan_total],0)-tblOrdenes[[#This Row],[costo_servicio]]))</f>
        <v/>
      </c>
      <c r="AK513" s="11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3">
        <f>IF(tblOrdenes[[#This Row],[fecha_inicio]]="","",TODAY()-tblOrdenes[[#This Row],[fecha_inicio]])</f>
        <v/>
      </c>
      <c r="AB5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1">
        <f>IF(tblOrdenes[[#This Row],[orden]]="","",_xlfn.XLOOKUP(tblOrdenes[[#This Row],[id_operacion]],tblEjecucion[id_operacion],tblEjecucion[precio],0))</f>
        <v/>
      </c>
      <c r="AJ514" s="11">
        <f>IF(tblOrdenes[[#This Row],[orden]]="","",MAX(0,_xlfn.XLOOKUP(tblOrdenes[[#This Row],[id_operacion]],tblEjecucion[id_operacion],tblEjecucion[costo_plan_total],0)-tblOrdenes[[#This Row],[costo_servicio]]))</f>
        <v/>
      </c>
      <c r="AK514" s="11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3">
        <f>IF(tblOrdenes[[#This Row],[fecha_inicio]]="","",TODAY()-tblOrdenes[[#This Row],[fecha_inicio]])</f>
        <v/>
      </c>
      <c r="AB5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1">
        <f>IF(tblOrdenes[[#This Row],[orden]]="","",_xlfn.XLOOKUP(tblOrdenes[[#This Row],[id_operacion]],tblEjecucion[id_operacion],tblEjecucion[precio],0))</f>
        <v/>
      </c>
      <c r="AJ515" s="11">
        <f>IF(tblOrdenes[[#This Row],[orden]]="","",MAX(0,_xlfn.XLOOKUP(tblOrdenes[[#This Row],[id_operacion]],tblEjecucion[id_operacion],tblEjecucion[costo_plan_total],0)-tblOrdenes[[#This Row],[costo_servicio]]))</f>
        <v/>
      </c>
      <c r="AK515" s="11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3">
        <f>IF(tblOrdenes[[#This Row],[fecha_inicio]]="","",TODAY()-tblOrdenes[[#This Row],[fecha_inicio]])</f>
        <v/>
      </c>
      <c r="AB5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1">
        <f>IF(tblOrdenes[[#This Row],[orden]]="","",_xlfn.XLOOKUP(tblOrdenes[[#This Row],[id_operacion]],tblEjecucion[id_operacion],tblEjecucion[precio],0))</f>
        <v/>
      </c>
      <c r="AJ516" s="11">
        <f>IF(tblOrdenes[[#This Row],[orden]]="","",MAX(0,_xlfn.XLOOKUP(tblOrdenes[[#This Row],[id_operacion]],tblEjecucion[id_operacion],tblEjecucion[costo_plan_total],0)-tblOrdenes[[#This Row],[costo_servicio]]))</f>
        <v/>
      </c>
      <c r="AK516" s="11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3">
        <f>IF(tblOrdenes[[#This Row],[fecha_inicio]]="","",TODAY()-tblOrdenes[[#This Row],[fecha_inicio]])</f>
        <v/>
      </c>
      <c r="AB5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1">
        <f>IF(tblOrdenes[[#This Row],[orden]]="","",_xlfn.XLOOKUP(tblOrdenes[[#This Row],[id_operacion]],tblEjecucion[id_operacion],tblEjecucion[precio],0))</f>
        <v/>
      </c>
      <c r="AJ517" s="11">
        <f>IF(tblOrdenes[[#This Row],[orden]]="","",MAX(0,_xlfn.XLOOKUP(tblOrdenes[[#This Row],[id_operacion]],tblEjecucion[id_operacion],tblEjecucion[costo_plan_total],0)-tblOrdenes[[#This Row],[costo_servicio]]))</f>
        <v/>
      </c>
      <c r="AK517" s="11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3">
        <f>IF(tblOrdenes[[#This Row],[fecha_inicio]]="","",TODAY()-tblOrdenes[[#This Row],[fecha_inicio]])</f>
        <v/>
      </c>
      <c r="AB5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1">
        <f>IF(tblOrdenes[[#This Row],[orden]]="","",_xlfn.XLOOKUP(tblOrdenes[[#This Row],[id_operacion]],tblEjecucion[id_operacion],tblEjecucion[precio],0))</f>
        <v/>
      </c>
      <c r="AJ518" s="11">
        <f>IF(tblOrdenes[[#This Row],[orden]]="","",MAX(0,_xlfn.XLOOKUP(tblOrdenes[[#This Row],[id_operacion]],tblEjecucion[id_operacion],tblEjecucion[costo_plan_total],0)-tblOrdenes[[#This Row],[costo_servicio]]))</f>
        <v/>
      </c>
      <c r="AK518" s="11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3">
        <f>IF(tblOrdenes[[#This Row],[fecha_inicio]]="","",TODAY()-tblOrdenes[[#This Row],[fecha_inicio]])</f>
        <v/>
      </c>
      <c r="AB5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1">
        <f>IF(tblOrdenes[[#This Row],[orden]]="","",_xlfn.XLOOKUP(tblOrdenes[[#This Row],[id_operacion]],tblEjecucion[id_operacion],tblEjecucion[precio],0))</f>
        <v/>
      </c>
      <c r="AJ519" s="11">
        <f>IF(tblOrdenes[[#This Row],[orden]]="","",MAX(0,_xlfn.XLOOKUP(tblOrdenes[[#This Row],[id_operacion]],tblEjecucion[id_operacion],tblEjecucion[costo_plan_total],0)-tblOrdenes[[#This Row],[costo_servicio]]))</f>
        <v/>
      </c>
      <c r="AK519" s="11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3">
        <f>IF(tblOrdenes[[#This Row],[fecha_inicio]]="","",TODAY()-tblOrdenes[[#This Row],[fecha_inicio]])</f>
        <v/>
      </c>
      <c r="AB5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1">
        <f>IF(tblOrdenes[[#This Row],[orden]]="","",_xlfn.XLOOKUP(tblOrdenes[[#This Row],[id_operacion]],tblEjecucion[id_operacion],tblEjecucion[precio],0))</f>
        <v/>
      </c>
      <c r="AJ520" s="11">
        <f>IF(tblOrdenes[[#This Row],[orden]]="","",MAX(0,_xlfn.XLOOKUP(tblOrdenes[[#This Row],[id_operacion]],tblEjecucion[id_operacion],tblEjecucion[costo_plan_total],0)-tblOrdenes[[#This Row],[costo_servicio]]))</f>
        <v/>
      </c>
      <c r="AK520" s="11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3">
        <f>IF(tblOrdenes[[#This Row],[fecha_inicio]]="","",TODAY()-tblOrdenes[[#This Row],[fecha_inicio]])</f>
        <v/>
      </c>
      <c r="AB5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1">
        <f>IF(tblOrdenes[[#This Row],[orden]]="","",_xlfn.XLOOKUP(tblOrdenes[[#This Row],[id_operacion]],tblEjecucion[id_operacion],tblEjecucion[precio],0))</f>
        <v/>
      </c>
      <c r="AJ521" s="11">
        <f>IF(tblOrdenes[[#This Row],[orden]]="","",MAX(0,_xlfn.XLOOKUP(tblOrdenes[[#This Row],[id_operacion]],tblEjecucion[id_operacion],tblEjecucion[costo_plan_total],0)-tblOrdenes[[#This Row],[costo_servicio]]))</f>
        <v/>
      </c>
      <c r="AK521" s="11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3">
        <f>IF(tblOrdenes[[#This Row],[fecha_inicio]]="","",TODAY()-tblOrdenes[[#This Row],[fecha_inicio]])</f>
        <v/>
      </c>
      <c r="AB5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1">
        <f>IF(tblOrdenes[[#This Row],[orden]]="","",_xlfn.XLOOKUP(tblOrdenes[[#This Row],[id_operacion]],tblEjecucion[id_operacion],tblEjecucion[precio],0))</f>
        <v/>
      </c>
      <c r="AJ522" s="11">
        <f>IF(tblOrdenes[[#This Row],[orden]]="","",MAX(0,_xlfn.XLOOKUP(tblOrdenes[[#This Row],[id_operacion]],tblEjecucion[id_operacion],tblEjecucion[costo_plan_total],0)-tblOrdenes[[#This Row],[costo_servicio]]))</f>
        <v/>
      </c>
      <c r="AK522" s="11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3">
        <f>IF(tblOrdenes[[#This Row],[fecha_inicio]]="","",TODAY()-tblOrdenes[[#This Row],[fecha_inicio]])</f>
        <v/>
      </c>
      <c r="AB5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1">
        <f>IF(tblOrdenes[[#This Row],[orden]]="","",_xlfn.XLOOKUP(tblOrdenes[[#This Row],[id_operacion]],tblEjecucion[id_operacion],tblEjecucion[precio],0))</f>
        <v/>
      </c>
      <c r="AJ523" s="11">
        <f>IF(tblOrdenes[[#This Row],[orden]]="","",MAX(0,_xlfn.XLOOKUP(tblOrdenes[[#This Row],[id_operacion]],tblEjecucion[id_operacion],tblEjecucion[costo_plan_total],0)-tblOrdenes[[#This Row],[costo_servicio]]))</f>
        <v/>
      </c>
      <c r="AK523" s="11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3">
        <f>IF(tblOrdenes[[#This Row],[fecha_inicio]]="","",TODAY()-tblOrdenes[[#This Row],[fecha_inicio]])</f>
        <v/>
      </c>
      <c r="AB5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1">
        <f>IF(tblOrdenes[[#This Row],[orden]]="","",_xlfn.XLOOKUP(tblOrdenes[[#This Row],[id_operacion]],tblEjecucion[id_operacion],tblEjecucion[precio],0))</f>
        <v/>
      </c>
      <c r="AJ524" s="11">
        <f>IF(tblOrdenes[[#This Row],[orden]]="","",MAX(0,_xlfn.XLOOKUP(tblOrdenes[[#This Row],[id_operacion]],tblEjecucion[id_operacion],tblEjecucion[costo_plan_total],0)-tblOrdenes[[#This Row],[costo_servicio]]))</f>
        <v/>
      </c>
      <c r="AK524" s="11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3">
        <f>IF(tblOrdenes[[#This Row],[fecha_inicio]]="","",TODAY()-tblOrdenes[[#This Row],[fecha_inicio]])</f>
        <v/>
      </c>
      <c r="AB5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1">
        <f>IF(tblOrdenes[[#This Row],[orden]]="","",_xlfn.XLOOKUP(tblOrdenes[[#This Row],[id_operacion]],tblEjecucion[id_operacion],tblEjecucion[precio],0))</f>
        <v/>
      </c>
      <c r="AJ525" s="11">
        <f>IF(tblOrdenes[[#This Row],[orden]]="","",MAX(0,_xlfn.XLOOKUP(tblOrdenes[[#This Row],[id_operacion]],tblEjecucion[id_operacion],tblEjecucion[costo_plan_total],0)-tblOrdenes[[#This Row],[costo_servicio]]))</f>
        <v/>
      </c>
      <c r="AK525" s="11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3">
        <f>IF(tblOrdenes[[#This Row],[fecha_inicio]]="","",TODAY()-tblOrdenes[[#This Row],[fecha_inicio]])</f>
        <v/>
      </c>
      <c r="AB5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1">
        <f>IF(tblOrdenes[[#This Row],[orden]]="","",_xlfn.XLOOKUP(tblOrdenes[[#This Row],[id_operacion]],tblEjecucion[id_operacion],tblEjecucion[precio],0))</f>
        <v/>
      </c>
      <c r="AJ526" s="11">
        <f>IF(tblOrdenes[[#This Row],[orden]]="","",MAX(0,_xlfn.XLOOKUP(tblOrdenes[[#This Row],[id_operacion]],tblEjecucion[id_operacion],tblEjecucion[costo_plan_total],0)-tblOrdenes[[#This Row],[costo_servicio]]))</f>
        <v/>
      </c>
      <c r="AK526" s="11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3">
        <f>IF(tblOrdenes[[#This Row],[fecha_inicio]]="","",TODAY()-tblOrdenes[[#This Row],[fecha_inicio]])</f>
        <v/>
      </c>
      <c r="AB5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1">
        <f>IF(tblOrdenes[[#This Row],[orden]]="","",_xlfn.XLOOKUP(tblOrdenes[[#This Row],[id_operacion]],tblEjecucion[id_operacion],tblEjecucion[precio],0))</f>
        <v/>
      </c>
      <c r="AJ527" s="11">
        <f>IF(tblOrdenes[[#This Row],[orden]]="","",MAX(0,_xlfn.XLOOKUP(tblOrdenes[[#This Row],[id_operacion]],tblEjecucion[id_operacion],tblEjecucion[costo_plan_total],0)-tblOrdenes[[#This Row],[costo_servicio]]))</f>
        <v/>
      </c>
      <c r="AK527" s="11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3">
        <f>IF(tblOrdenes[[#This Row],[fecha_inicio]]="","",TODAY()-tblOrdenes[[#This Row],[fecha_inicio]])</f>
        <v/>
      </c>
      <c r="AB5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1">
        <f>IF(tblOrdenes[[#This Row],[orden]]="","",_xlfn.XLOOKUP(tblOrdenes[[#This Row],[id_operacion]],tblEjecucion[id_operacion],tblEjecucion[precio],0))</f>
        <v/>
      </c>
      <c r="AJ528" s="11">
        <f>IF(tblOrdenes[[#This Row],[orden]]="","",MAX(0,_xlfn.XLOOKUP(tblOrdenes[[#This Row],[id_operacion]],tblEjecucion[id_operacion],tblEjecucion[costo_plan_total],0)-tblOrdenes[[#This Row],[costo_servicio]]))</f>
        <v/>
      </c>
      <c r="AK528" s="11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3">
        <f>IF(tblOrdenes[[#This Row],[fecha_inicio]]="","",TODAY()-tblOrdenes[[#This Row],[fecha_inicio]])</f>
        <v/>
      </c>
      <c r="AB5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1">
        <f>IF(tblOrdenes[[#This Row],[orden]]="","",_xlfn.XLOOKUP(tblOrdenes[[#This Row],[id_operacion]],tblEjecucion[id_operacion],tblEjecucion[precio],0))</f>
        <v/>
      </c>
      <c r="AJ529" s="11">
        <f>IF(tblOrdenes[[#This Row],[orden]]="","",MAX(0,_xlfn.XLOOKUP(tblOrdenes[[#This Row],[id_operacion]],tblEjecucion[id_operacion],tblEjecucion[costo_plan_total],0)-tblOrdenes[[#This Row],[costo_servicio]]))</f>
        <v/>
      </c>
      <c r="AK529" s="11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3">
        <f>IF(tblOrdenes[[#This Row],[fecha_inicio]]="","",TODAY()-tblOrdenes[[#This Row],[fecha_inicio]])</f>
        <v/>
      </c>
      <c r="AB5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1">
        <f>IF(tblOrdenes[[#This Row],[orden]]="","",_xlfn.XLOOKUP(tblOrdenes[[#This Row],[id_operacion]],tblEjecucion[id_operacion],tblEjecucion[precio],0))</f>
        <v/>
      </c>
      <c r="AJ530" s="11">
        <f>IF(tblOrdenes[[#This Row],[orden]]="","",MAX(0,_xlfn.XLOOKUP(tblOrdenes[[#This Row],[id_operacion]],tblEjecucion[id_operacion],tblEjecucion[costo_plan_total],0)-tblOrdenes[[#This Row],[costo_servicio]]))</f>
        <v/>
      </c>
      <c r="AK530" s="11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3">
        <f>IF(tblOrdenes[[#This Row],[fecha_inicio]]="","",TODAY()-tblOrdenes[[#This Row],[fecha_inicio]])</f>
        <v/>
      </c>
      <c r="AB5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1">
        <f>IF(tblOrdenes[[#This Row],[orden]]="","",_xlfn.XLOOKUP(tblOrdenes[[#This Row],[id_operacion]],tblEjecucion[id_operacion],tblEjecucion[precio],0))</f>
        <v/>
      </c>
      <c r="AJ531" s="11">
        <f>IF(tblOrdenes[[#This Row],[orden]]="","",MAX(0,_xlfn.XLOOKUP(tblOrdenes[[#This Row],[id_operacion]],tblEjecucion[id_operacion],tblEjecucion[costo_plan_total],0)-tblOrdenes[[#This Row],[costo_servicio]]))</f>
        <v/>
      </c>
      <c r="AK531" s="11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3">
        <f>IF(tblOrdenes[[#This Row],[fecha_inicio]]="","",TODAY()-tblOrdenes[[#This Row],[fecha_inicio]])</f>
        <v/>
      </c>
      <c r="AB5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1">
        <f>IF(tblOrdenes[[#This Row],[orden]]="","",_xlfn.XLOOKUP(tblOrdenes[[#This Row],[id_operacion]],tblEjecucion[id_operacion],tblEjecucion[precio],0))</f>
        <v/>
      </c>
      <c r="AJ532" s="11">
        <f>IF(tblOrdenes[[#This Row],[orden]]="","",MAX(0,_xlfn.XLOOKUP(tblOrdenes[[#This Row],[id_operacion]],tblEjecucion[id_operacion],tblEjecucion[costo_plan_total],0)-tblOrdenes[[#This Row],[costo_servicio]]))</f>
        <v/>
      </c>
      <c r="AK532" s="11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3">
        <f>IF(tblOrdenes[[#This Row],[fecha_inicio]]="","",TODAY()-tblOrdenes[[#This Row],[fecha_inicio]])</f>
        <v/>
      </c>
      <c r="AB5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1">
        <f>IF(tblOrdenes[[#This Row],[orden]]="","",_xlfn.XLOOKUP(tblOrdenes[[#This Row],[id_operacion]],tblEjecucion[id_operacion],tblEjecucion[precio],0))</f>
        <v/>
      </c>
      <c r="AJ533" s="11">
        <f>IF(tblOrdenes[[#This Row],[orden]]="","",MAX(0,_xlfn.XLOOKUP(tblOrdenes[[#This Row],[id_operacion]],tblEjecucion[id_operacion],tblEjecucion[costo_plan_total],0)-tblOrdenes[[#This Row],[costo_servicio]]))</f>
        <v/>
      </c>
      <c r="AK533" s="11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3">
        <f>IF(tblOrdenes[[#This Row],[fecha_inicio]]="","",TODAY()-tblOrdenes[[#This Row],[fecha_inicio]])</f>
        <v/>
      </c>
      <c r="AB5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1">
        <f>IF(tblOrdenes[[#This Row],[orden]]="","",_xlfn.XLOOKUP(tblOrdenes[[#This Row],[id_operacion]],tblEjecucion[id_operacion],tblEjecucion[precio],0))</f>
        <v/>
      </c>
      <c r="AJ534" s="11">
        <f>IF(tblOrdenes[[#This Row],[orden]]="","",MAX(0,_xlfn.XLOOKUP(tblOrdenes[[#This Row],[id_operacion]],tblEjecucion[id_operacion],tblEjecucion[costo_plan_total],0)-tblOrdenes[[#This Row],[costo_servicio]]))</f>
        <v/>
      </c>
      <c r="AK534" s="11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3">
        <f>IF(tblOrdenes[[#This Row],[fecha_inicio]]="","",TODAY()-tblOrdenes[[#This Row],[fecha_inicio]])</f>
        <v/>
      </c>
      <c r="AB5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1">
        <f>IF(tblOrdenes[[#This Row],[orden]]="","",_xlfn.XLOOKUP(tblOrdenes[[#This Row],[id_operacion]],tblEjecucion[id_operacion],tblEjecucion[precio],0))</f>
        <v/>
      </c>
      <c r="AJ535" s="11">
        <f>IF(tblOrdenes[[#This Row],[orden]]="","",MAX(0,_xlfn.XLOOKUP(tblOrdenes[[#This Row],[id_operacion]],tblEjecucion[id_operacion],tblEjecucion[costo_plan_total],0)-tblOrdenes[[#This Row],[costo_servicio]]))</f>
        <v/>
      </c>
      <c r="AK535" s="11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3">
        <f>IF(tblOrdenes[[#This Row],[fecha_inicio]]="","",TODAY()-tblOrdenes[[#This Row],[fecha_inicio]])</f>
        <v/>
      </c>
      <c r="AB5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1">
        <f>IF(tblOrdenes[[#This Row],[orden]]="","",_xlfn.XLOOKUP(tblOrdenes[[#This Row],[id_operacion]],tblEjecucion[id_operacion],tblEjecucion[precio],0))</f>
        <v/>
      </c>
      <c r="AJ536" s="11">
        <f>IF(tblOrdenes[[#This Row],[orden]]="","",MAX(0,_xlfn.XLOOKUP(tblOrdenes[[#This Row],[id_operacion]],tblEjecucion[id_operacion],tblEjecucion[costo_plan_total],0)-tblOrdenes[[#This Row],[costo_servicio]]))</f>
        <v/>
      </c>
      <c r="AK536" s="11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3">
        <f>IF(tblOrdenes[[#This Row],[fecha_inicio]]="","",TODAY()-tblOrdenes[[#This Row],[fecha_inicio]])</f>
        <v/>
      </c>
      <c r="AB5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1">
        <f>IF(tblOrdenes[[#This Row],[orden]]="","",_xlfn.XLOOKUP(tblOrdenes[[#This Row],[id_operacion]],tblEjecucion[id_operacion],tblEjecucion[precio],0))</f>
        <v/>
      </c>
      <c r="AJ537" s="11">
        <f>IF(tblOrdenes[[#This Row],[orden]]="","",MAX(0,_xlfn.XLOOKUP(tblOrdenes[[#This Row],[id_operacion]],tblEjecucion[id_operacion],tblEjecucion[costo_plan_total],0)-tblOrdenes[[#This Row],[costo_servicio]]))</f>
        <v/>
      </c>
      <c r="AK537" s="11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3">
        <f>IF(tblOrdenes[[#This Row],[fecha_inicio]]="","",TODAY()-tblOrdenes[[#This Row],[fecha_inicio]])</f>
        <v/>
      </c>
      <c r="AB5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1">
        <f>IF(tblOrdenes[[#This Row],[orden]]="","",_xlfn.XLOOKUP(tblOrdenes[[#This Row],[id_operacion]],tblEjecucion[id_operacion],tblEjecucion[precio],0))</f>
        <v/>
      </c>
      <c r="AJ538" s="11">
        <f>IF(tblOrdenes[[#This Row],[orden]]="","",MAX(0,_xlfn.XLOOKUP(tblOrdenes[[#This Row],[id_operacion]],tblEjecucion[id_operacion],tblEjecucion[costo_plan_total],0)-tblOrdenes[[#This Row],[costo_servicio]]))</f>
        <v/>
      </c>
      <c r="AK538" s="11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3">
        <f>IF(tblOrdenes[[#This Row],[fecha_inicio]]="","",TODAY()-tblOrdenes[[#This Row],[fecha_inicio]])</f>
        <v/>
      </c>
      <c r="AB5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1">
        <f>IF(tblOrdenes[[#This Row],[orden]]="","",_xlfn.XLOOKUP(tblOrdenes[[#This Row],[id_operacion]],tblEjecucion[id_operacion],tblEjecucion[precio],0))</f>
        <v/>
      </c>
      <c r="AJ539" s="11">
        <f>IF(tblOrdenes[[#This Row],[orden]]="","",MAX(0,_xlfn.XLOOKUP(tblOrdenes[[#This Row],[id_operacion]],tblEjecucion[id_operacion],tblEjecucion[costo_plan_total],0)-tblOrdenes[[#This Row],[costo_servicio]]))</f>
        <v/>
      </c>
      <c r="AK539" s="11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3">
        <f>IF(tblOrdenes[[#This Row],[fecha_inicio]]="","",TODAY()-tblOrdenes[[#This Row],[fecha_inicio]])</f>
        <v/>
      </c>
      <c r="AB5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1">
        <f>IF(tblOrdenes[[#This Row],[orden]]="","",_xlfn.XLOOKUP(tblOrdenes[[#This Row],[id_operacion]],tblEjecucion[id_operacion],tblEjecucion[precio],0))</f>
        <v/>
      </c>
      <c r="AJ540" s="11">
        <f>IF(tblOrdenes[[#This Row],[orden]]="","",MAX(0,_xlfn.XLOOKUP(tblOrdenes[[#This Row],[id_operacion]],tblEjecucion[id_operacion],tblEjecucion[costo_plan_total],0)-tblOrdenes[[#This Row],[costo_servicio]]))</f>
        <v/>
      </c>
      <c r="AK540" s="11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3">
        <f>IF(tblOrdenes[[#This Row],[fecha_inicio]]="","",TODAY()-tblOrdenes[[#This Row],[fecha_inicio]])</f>
        <v/>
      </c>
      <c r="AB5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1">
        <f>IF(tblOrdenes[[#This Row],[orden]]="","",_xlfn.XLOOKUP(tblOrdenes[[#This Row],[id_operacion]],tblEjecucion[id_operacion],tblEjecucion[precio],0))</f>
        <v/>
      </c>
      <c r="AJ541" s="11">
        <f>IF(tblOrdenes[[#This Row],[orden]]="","",MAX(0,_xlfn.XLOOKUP(tblOrdenes[[#This Row],[id_operacion]],tblEjecucion[id_operacion],tblEjecucion[costo_plan_total],0)-tblOrdenes[[#This Row],[costo_servicio]]))</f>
        <v/>
      </c>
      <c r="AK541" s="11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3">
        <f>IF(tblOrdenes[[#This Row],[fecha_inicio]]="","",TODAY()-tblOrdenes[[#This Row],[fecha_inicio]])</f>
        <v/>
      </c>
      <c r="AB5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1">
        <f>IF(tblOrdenes[[#This Row],[orden]]="","",_xlfn.XLOOKUP(tblOrdenes[[#This Row],[id_operacion]],tblEjecucion[id_operacion],tblEjecucion[precio],0))</f>
        <v/>
      </c>
      <c r="AJ542" s="11">
        <f>IF(tblOrdenes[[#This Row],[orden]]="","",MAX(0,_xlfn.XLOOKUP(tblOrdenes[[#This Row],[id_operacion]],tblEjecucion[id_operacion],tblEjecucion[costo_plan_total],0)-tblOrdenes[[#This Row],[costo_servicio]]))</f>
        <v/>
      </c>
      <c r="AK542" s="11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3">
        <f>IF(tblOrdenes[[#This Row],[fecha_inicio]]="","",TODAY()-tblOrdenes[[#This Row],[fecha_inicio]])</f>
        <v/>
      </c>
      <c r="AB5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1">
        <f>IF(tblOrdenes[[#This Row],[orden]]="","",_xlfn.XLOOKUP(tblOrdenes[[#This Row],[id_operacion]],tblEjecucion[id_operacion],tblEjecucion[precio],0))</f>
        <v/>
      </c>
      <c r="AJ543" s="11">
        <f>IF(tblOrdenes[[#This Row],[orden]]="","",MAX(0,_xlfn.XLOOKUP(tblOrdenes[[#This Row],[id_operacion]],tblEjecucion[id_operacion],tblEjecucion[costo_plan_total],0)-tblOrdenes[[#This Row],[costo_servicio]]))</f>
        <v/>
      </c>
      <c r="AK543" s="11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3">
        <f>IF(tblOrdenes[[#This Row],[fecha_inicio]]="","",TODAY()-tblOrdenes[[#This Row],[fecha_inicio]])</f>
        <v/>
      </c>
      <c r="AB5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1">
        <f>IF(tblOrdenes[[#This Row],[orden]]="","",_xlfn.XLOOKUP(tblOrdenes[[#This Row],[id_operacion]],tblEjecucion[id_operacion],tblEjecucion[precio],0))</f>
        <v/>
      </c>
      <c r="AJ544" s="11">
        <f>IF(tblOrdenes[[#This Row],[orden]]="","",MAX(0,_xlfn.XLOOKUP(tblOrdenes[[#This Row],[id_operacion]],tblEjecucion[id_operacion],tblEjecucion[costo_plan_total],0)-tblOrdenes[[#This Row],[costo_servicio]]))</f>
        <v/>
      </c>
      <c r="AK544" s="11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3">
        <f>IF(tblOrdenes[[#This Row],[fecha_inicio]]="","",TODAY()-tblOrdenes[[#This Row],[fecha_inicio]])</f>
        <v/>
      </c>
      <c r="AB5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1">
        <f>IF(tblOrdenes[[#This Row],[orden]]="","",_xlfn.XLOOKUP(tblOrdenes[[#This Row],[id_operacion]],tblEjecucion[id_operacion],tblEjecucion[precio],0))</f>
        <v/>
      </c>
      <c r="AJ545" s="11">
        <f>IF(tblOrdenes[[#This Row],[orden]]="","",MAX(0,_xlfn.XLOOKUP(tblOrdenes[[#This Row],[id_operacion]],tblEjecucion[id_operacion],tblEjecucion[costo_plan_total],0)-tblOrdenes[[#This Row],[costo_servicio]]))</f>
        <v/>
      </c>
      <c r="AK545" s="11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3">
        <f>IF(tblOrdenes[[#This Row],[fecha_inicio]]="","",TODAY()-tblOrdenes[[#This Row],[fecha_inicio]])</f>
        <v/>
      </c>
      <c r="AB5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1">
        <f>IF(tblOrdenes[[#This Row],[orden]]="","",_xlfn.XLOOKUP(tblOrdenes[[#This Row],[id_operacion]],tblEjecucion[id_operacion],tblEjecucion[precio],0))</f>
        <v/>
      </c>
      <c r="AJ546" s="11">
        <f>IF(tblOrdenes[[#This Row],[orden]]="","",MAX(0,_xlfn.XLOOKUP(tblOrdenes[[#This Row],[id_operacion]],tblEjecucion[id_operacion],tblEjecucion[costo_plan_total],0)-tblOrdenes[[#This Row],[costo_servicio]]))</f>
        <v/>
      </c>
      <c r="AK546" s="11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3">
        <f>IF(tblOrdenes[[#This Row],[fecha_inicio]]="","",TODAY()-tblOrdenes[[#This Row],[fecha_inicio]])</f>
        <v/>
      </c>
      <c r="AB5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1">
        <f>IF(tblOrdenes[[#This Row],[orden]]="","",_xlfn.XLOOKUP(tblOrdenes[[#This Row],[id_operacion]],tblEjecucion[id_operacion],tblEjecucion[precio],0))</f>
        <v/>
      </c>
      <c r="AJ547" s="11">
        <f>IF(tblOrdenes[[#This Row],[orden]]="","",MAX(0,_xlfn.XLOOKUP(tblOrdenes[[#This Row],[id_operacion]],tblEjecucion[id_operacion],tblEjecucion[costo_plan_total],0)-tblOrdenes[[#This Row],[costo_servicio]]))</f>
        <v/>
      </c>
      <c r="AK547" s="11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3">
        <f>IF(tblOrdenes[[#This Row],[fecha_inicio]]="","",TODAY()-tblOrdenes[[#This Row],[fecha_inicio]])</f>
        <v/>
      </c>
      <c r="AB5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1">
        <f>IF(tblOrdenes[[#This Row],[orden]]="","",_xlfn.XLOOKUP(tblOrdenes[[#This Row],[id_operacion]],tblEjecucion[id_operacion],tblEjecucion[precio],0))</f>
        <v/>
      </c>
      <c r="AJ548" s="11">
        <f>IF(tblOrdenes[[#This Row],[orden]]="","",MAX(0,_xlfn.XLOOKUP(tblOrdenes[[#This Row],[id_operacion]],tblEjecucion[id_operacion],tblEjecucion[costo_plan_total],0)-tblOrdenes[[#This Row],[costo_servicio]]))</f>
        <v/>
      </c>
      <c r="AK548" s="11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3">
        <f>IF(tblOrdenes[[#This Row],[fecha_inicio]]="","",TODAY()-tblOrdenes[[#This Row],[fecha_inicio]])</f>
        <v/>
      </c>
      <c r="AB5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1">
        <f>IF(tblOrdenes[[#This Row],[orden]]="","",_xlfn.XLOOKUP(tblOrdenes[[#This Row],[id_operacion]],tblEjecucion[id_operacion],tblEjecucion[precio],0))</f>
        <v/>
      </c>
      <c r="AJ549" s="11">
        <f>IF(tblOrdenes[[#This Row],[orden]]="","",MAX(0,_xlfn.XLOOKUP(tblOrdenes[[#This Row],[id_operacion]],tblEjecucion[id_operacion],tblEjecucion[costo_plan_total],0)-tblOrdenes[[#This Row],[costo_servicio]]))</f>
        <v/>
      </c>
      <c r="AK549" s="11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3">
        <f>IF(tblOrdenes[[#This Row],[fecha_inicio]]="","",TODAY()-tblOrdenes[[#This Row],[fecha_inicio]])</f>
        <v/>
      </c>
      <c r="AB5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1">
        <f>IF(tblOrdenes[[#This Row],[orden]]="","",_xlfn.XLOOKUP(tblOrdenes[[#This Row],[id_operacion]],tblEjecucion[id_operacion],tblEjecucion[precio],0))</f>
        <v/>
      </c>
      <c r="AJ550" s="11">
        <f>IF(tblOrdenes[[#This Row],[orden]]="","",MAX(0,_xlfn.XLOOKUP(tblOrdenes[[#This Row],[id_operacion]],tblEjecucion[id_operacion],tblEjecucion[costo_plan_total],0)-tblOrdenes[[#This Row],[costo_servicio]]))</f>
        <v/>
      </c>
      <c r="AK550" s="11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3">
        <f>IF(tblOrdenes[[#This Row],[fecha_inicio]]="","",TODAY()-tblOrdenes[[#This Row],[fecha_inicio]])</f>
        <v/>
      </c>
      <c r="AB5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1">
        <f>IF(tblOrdenes[[#This Row],[orden]]="","",_xlfn.XLOOKUP(tblOrdenes[[#This Row],[id_operacion]],tblEjecucion[id_operacion],tblEjecucion[precio],0))</f>
        <v/>
      </c>
      <c r="AJ551" s="11">
        <f>IF(tblOrdenes[[#This Row],[orden]]="","",MAX(0,_xlfn.XLOOKUP(tblOrdenes[[#This Row],[id_operacion]],tblEjecucion[id_operacion],tblEjecucion[costo_plan_total],0)-tblOrdenes[[#This Row],[costo_servicio]]))</f>
        <v/>
      </c>
      <c r="AK551" s="11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3">
        <f>IF(tblOrdenes[[#This Row],[fecha_inicio]]="","",TODAY()-tblOrdenes[[#This Row],[fecha_inicio]])</f>
        <v/>
      </c>
      <c r="AB5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1">
        <f>IF(tblOrdenes[[#This Row],[orden]]="","",_xlfn.XLOOKUP(tblOrdenes[[#This Row],[id_operacion]],tblEjecucion[id_operacion],tblEjecucion[precio],0))</f>
        <v/>
      </c>
      <c r="AJ552" s="11">
        <f>IF(tblOrdenes[[#This Row],[orden]]="","",MAX(0,_xlfn.XLOOKUP(tblOrdenes[[#This Row],[id_operacion]],tblEjecucion[id_operacion],tblEjecucion[costo_plan_total],0)-tblOrdenes[[#This Row],[costo_servicio]]))</f>
        <v/>
      </c>
      <c r="AK552" s="11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3">
        <f>IF(tblOrdenes[[#This Row],[fecha_inicio]]="","",TODAY()-tblOrdenes[[#This Row],[fecha_inicio]])</f>
        <v/>
      </c>
      <c r="AB5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1">
        <f>IF(tblOrdenes[[#This Row],[orden]]="","",_xlfn.XLOOKUP(tblOrdenes[[#This Row],[id_operacion]],tblEjecucion[id_operacion],tblEjecucion[precio],0))</f>
        <v/>
      </c>
      <c r="AJ553" s="11">
        <f>IF(tblOrdenes[[#This Row],[orden]]="","",MAX(0,_xlfn.XLOOKUP(tblOrdenes[[#This Row],[id_operacion]],tblEjecucion[id_operacion],tblEjecucion[costo_plan_total],0)-tblOrdenes[[#This Row],[costo_servicio]]))</f>
        <v/>
      </c>
      <c r="AK553" s="11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3">
        <f>IF(tblOrdenes[[#This Row],[fecha_inicio]]="","",TODAY()-tblOrdenes[[#This Row],[fecha_inicio]])</f>
        <v/>
      </c>
      <c r="AB5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1">
        <f>IF(tblOrdenes[[#This Row],[orden]]="","",_xlfn.XLOOKUP(tblOrdenes[[#This Row],[id_operacion]],tblEjecucion[id_operacion],tblEjecucion[precio],0))</f>
        <v/>
      </c>
      <c r="AJ554" s="11">
        <f>IF(tblOrdenes[[#This Row],[orden]]="","",MAX(0,_xlfn.XLOOKUP(tblOrdenes[[#This Row],[id_operacion]],tblEjecucion[id_operacion],tblEjecucion[costo_plan_total],0)-tblOrdenes[[#This Row],[costo_servicio]]))</f>
        <v/>
      </c>
      <c r="AK554" s="11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3">
        <f>IF(tblOrdenes[[#This Row],[fecha_inicio]]="","",TODAY()-tblOrdenes[[#This Row],[fecha_inicio]])</f>
        <v/>
      </c>
      <c r="AB5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1">
        <f>IF(tblOrdenes[[#This Row],[orden]]="","",_xlfn.XLOOKUP(tblOrdenes[[#This Row],[id_operacion]],tblEjecucion[id_operacion],tblEjecucion[precio],0))</f>
        <v/>
      </c>
      <c r="AJ555" s="11">
        <f>IF(tblOrdenes[[#This Row],[orden]]="","",MAX(0,_xlfn.XLOOKUP(tblOrdenes[[#This Row],[id_operacion]],tblEjecucion[id_operacion],tblEjecucion[costo_plan_total],0)-tblOrdenes[[#This Row],[costo_servicio]]))</f>
        <v/>
      </c>
      <c r="AK555" s="11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3">
        <f>IF(tblOrdenes[[#This Row],[fecha_inicio]]="","",TODAY()-tblOrdenes[[#This Row],[fecha_inicio]])</f>
        <v/>
      </c>
      <c r="AB5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1">
        <f>IF(tblOrdenes[[#This Row],[orden]]="","",_xlfn.XLOOKUP(tblOrdenes[[#This Row],[id_operacion]],tblEjecucion[id_operacion],tblEjecucion[precio],0))</f>
        <v/>
      </c>
      <c r="AJ556" s="11">
        <f>IF(tblOrdenes[[#This Row],[orden]]="","",MAX(0,_xlfn.XLOOKUP(tblOrdenes[[#This Row],[id_operacion]],tblEjecucion[id_operacion],tblEjecucion[costo_plan_total],0)-tblOrdenes[[#This Row],[costo_servicio]]))</f>
        <v/>
      </c>
      <c r="AK556" s="11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3">
        <f>IF(tblOrdenes[[#This Row],[fecha_inicio]]="","",TODAY()-tblOrdenes[[#This Row],[fecha_inicio]])</f>
        <v/>
      </c>
      <c r="AB5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1">
        <f>IF(tblOrdenes[[#This Row],[orden]]="","",_xlfn.XLOOKUP(tblOrdenes[[#This Row],[id_operacion]],tblEjecucion[id_operacion],tblEjecucion[precio],0))</f>
        <v/>
      </c>
      <c r="AJ557" s="11">
        <f>IF(tblOrdenes[[#This Row],[orden]]="","",MAX(0,_xlfn.XLOOKUP(tblOrdenes[[#This Row],[id_operacion]],tblEjecucion[id_operacion],tblEjecucion[costo_plan_total],0)-tblOrdenes[[#This Row],[costo_servicio]]))</f>
        <v/>
      </c>
      <c r="AK557" s="11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3">
        <f>IF(tblOrdenes[[#This Row],[fecha_inicio]]="","",TODAY()-tblOrdenes[[#This Row],[fecha_inicio]])</f>
        <v/>
      </c>
      <c r="AB5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1">
        <f>IF(tblOrdenes[[#This Row],[orden]]="","",_xlfn.XLOOKUP(tblOrdenes[[#This Row],[id_operacion]],tblEjecucion[id_operacion],tblEjecucion[precio],0))</f>
        <v/>
      </c>
      <c r="AJ558" s="11">
        <f>IF(tblOrdenes[[#This Row],[orden]]="","",MAX(0,_xlfn.XLOOKUP(tblOrdenes[[#This Row],[id_operacion]],tblEjecucion[id_operacion],tblEjecucion[costo_plan_total],0)-tblOrdenes[[#This Row],[costo_servicio]]))</f>
        <v/>
      </c>
      <c r="AK558" s="11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3">
        <f>IF(tblOrdenes[[#This Row],[fecha_inicio]]="","",TODAY()-tblOrdenes[[#This Row],[fecha_inicio]])</f>
        <v/>
      </c>
      <c r="AB5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1">
        <f>IF(tblOrdenes[[#This Row],[orden]]="","",_xlfn.XLOOKUP(tblOrdenes[[#This Row],[id_operacion]],tblEjecucion[id_operacion],tblEjecucion[precio],0))</f>
        <v/>
      </c>
      <c r="AJ559" s="11">
        <f>IF(tblOrdenes[[#This Row],[orden]]="","",MAX(0,_xlfn.XLOOKUP(tblOrdenes[[#This Row],[id_operacion]],tblEjecucion[id_operacion],tblEjecucion[costo_plan_total],0)-tblOrdenes[[#This Row],[costo_servicio]]))</f>
        <v/>
      </c>
      <c r="AK559" s="11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3">
        <f>IF(tblOrdenes[[#This Row],[fecha_inicio]]="","",TODAY()-tblOrdenes[[#This Row],[fecha_inicio]])</f>
        <v/>
      </c>
      <c r="AB5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1">
        <f>IF(tblOrdenes[[#This Row],[orden]]="","",_xlfn.XLOOKUP(tblOrdenes[[#This Row],[id_operacion]],tblEjecucion[id_operacion],tblEjecucion[precio],0))</f>
        <v/>
      </c>
      <c r="AJ560" s="11">
        <f>IF(tblOrdenes[[#This Row],[orden]]="","",MAX(0,_xlfn.XLOOKUP(tblOrdenes[[#This Row],[id_operacion]],tblEjecucion[id_operacion],tblEjecucion[costo_plan_total],0)-tblOrdenes[[#This Row],[costo_servicio]]))</f>
        <v/>
      </c>
      <c r="AK560" s="11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3">
        <f>IF(tblOrdenes[[#This Row],[fecha_inicio]]="","",TODAY()-tblOrdenes[[#This Row],[fecha_inicio]])</f>
        <v/>
      </c>
      <c r="AB5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1">
        <f>IF(tblOrdenes[[#This Row],[orden]]="","",_xlfn.XLOOKUP(tblOrdenes[[#This Row],[id_operacion]],tblEjecucion[id_operacion],tblEjecucion[precio],0))</f>
        <v/>
      </c>
      <c r="AJ561" s="11">
        <f>IF(tblOrdenes[[#This Row],[orden]]="","",MAX(0,_xlfn.XLOOKUP(tblOrdenes[[#This Row],[id_operacion]],tblEjecucion[id_operacion],tblEjecucion[costo_plan_total],0)-tblOrdenes[[#This Row],[costo_servicio]]))</f>
        <v/>
      </c>
      <c r="AK561" s="11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3">
        <f>IF(tblOrdenes[[#This Row],[fecha_inicio]]="","",TODAY()-tblOrdenes[[#This Row],[fecha_inicio]])</f>
        <v/>
      </c>
      <c r="AB5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1">
        <f>IF(tblOrdenes[[#This Row],[orden]]="","",_xlfn.XLOOKUP(tblOrdenes[[#This Row],[id_operacion]],tblEjecucion[id_operacion],tblEjecucion[precio],0))</f>
        <v/>
      </c>
      <c r="AJ562" s="11">
        <f>IF(tblOrdenes[[#This Row],[orden]]="","",MAX(0,_xlfn.XLOOKUP(tblOrdenes[[#This Row],[id_operacion]],tblEjecucion[id_operacion],tblEjecucion[costo_plan_total],0)-tblOrdenes[[#This Row],[costo_servicio]]))</f>
        <v/>
      </c>
      <c r="AK562" s="11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3">
        <f>IF(tblOrdenes[[#This Row],[fecha_inicio]]="","",TODAY()-tblOrdenes[[#This Row],[fecha_inicio]])</f>
        <v/>
      </c>
      <c r="AB5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1">
        <f>IF(tblOrdenes[[#This Row],[orden]]="","",_xlfn.XLOOKUP(tblOrdenes[[#This Row],[id_operacion]],tblEjecucion[id_operacion],tblEjecucion[precio],0))</f>
        <v/>
      </c>
      <c r="AJ563" s="11">
        <f>IF(tblOrdenes[[#This Row],[orden]]="","",MAX(0,_xlfn.XLOOKUP(tblOrdenes[[#This Row],[id_operacion]],tblEjecucion[id_operacion],tblEjecucion[costo_plan_total],0)-tblOrdenes[[#This Row],[costo_servicio]]))</f>
        <v/>
      </c>
      <c r="AK563" s="11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3">
        <f>IF(tblOrdenes[[#This Row],[fecha_inicio]]="","",TODAY()-tblOrdenes[[#This Row],[fecha_inicio]])</f>
        <v/>
      </c>
      <c r="AB5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1">
        <f>IF(tblOrdenes[[#This Row],[orden]]="","",_xlfn.XLOOKUP(tblOrdenes[[#This Row],[id_operacion]],tblEjecucion[id_operacion],tblEjecucion[precio],0))</f>
        <v/>
      </c>
      <c r="AJ564" s="11">
        <f>IF(tblOrdenes[[#This Row],[orden]]="","",MAX(0,_xlfn.XLOOKUP(tblOrdenes[[#This Row],[id_operacion]],tblEjecucion[id_operacion],tblEjecucion[costo_plan_total],0)-tblOrdenes[[#This Row],[costo_servicio]]))</f>
        <v/>
      </c>
      <c r="AK564" s="11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3">
        <f>IF(tblOrdenes[[#This Row],[fecha_inicio]]="","",TODAY()-tblOrdenes[[#This Row],[fecha_inicio]])</f>
        <v/>
      </c>
      <c r="AB5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1">
        <f>IF(tblOrdenes[[#This Row],[orden]]="","",_xlfn.XLOOKUP(tblOrdenes[[#This Row],[id_operacion]],tblEjecucion[id_operacion],tblEjecucion[precio],0))</f>
        <v/>
      </c>
      <c r="AJ565" s="11">
        <f>IF(tblOrdenes[[#This Row],[orden]]="","",MAX(0,_xlfn.XLOOKUP(tblOrdenes[[#This Row],[id_operacion]],tblEjecucion[id_operacion],tblEjecucion[costo_plan_total],0)-tblOrdenes[[#This Row],[costo_servicio]]))</f>
        <v/>
      </c>
      <c r="AK565" s="11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3">
        <f>IF(tblOrdenes[[#This Row],[fecha_inicio]]="","",TODAY()-tblOrdenes[[#This Row],[fecha_inicio]])</f>
        <v/>
      </c>
      <c r="AB5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1">
        <f>IF(tblOrdenes[[#This Row],[orden]]="","",_xlfn.XLOOKUP(tblOrdenes[[#This Row],[id_operacion]],tblEjecucion[id_operacion],tblEjecucion[precio],0))</f>
        <v/>
      </c>
      <c r="AJ566" s="11">
        <f>IF(tblOrdenes[[#This Row],[orden]]="","",MAX(0,_xlfn.XLOOKUP(tblOrdenes[[#This Row],[id_operacion]],tblEjecucion[id_operacion],tblEjecucion[costo_plan_total],0)-tblOrdenes[[#This Row],[costo_servicio]]))</f>
        <v/>
      </c>
      <c r="AK566" s="11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3">
        <f>IF(tblOrdenes[[#This Row],[fecha_inicio]]="","",TODAY()-tblOrdenes[[#This Row],[fecha_inicio]])</f>
        <v/>
      </c>
      <c r="AB5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1">
        <f>IF(tblOrdenes[[#This Row],[orden]]="","",_xlfn.XLOOKUP(tblOrdenes[[#This Row],[id_operacion]],tblEjecucion[id_operacion],tblEjecucion[precio],0))</f>
        <v/>
      </c>
      <c r="AJ567" s="11">
        <f>IF(tblOrdenes[[#This Row],[orden]]="","",MAX(0,_xlfn.XLOOKUP(tblOrdenes[[#This Row],[id_operacion]],tblEjecucion[id_operacion],tblEjecucion[costo_plan_total],0)-tblOrdenes[[#This Row],[costo_servicio]]))</f>
        <v/>
      </c>
      <c r="AK567" s="11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3">
        <f>IF(tblOrdenes[[#This Row],[fecha_inicio]]="","",TODAY()-tblOrdenes[[#This Row],[fecha_inicio]])</f>
        <v/>
      </c>
      <c r="AB5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1">
        <f>IF(tblOrdenes[[#This Row],[orden]]="","",_xlfn.XLOOKUP(tblOrdenes[[#This Row],[id_operacion]],tblEjecucion[id_operacion],tblEjecucion[precio],0))</f>
        <v/>
      </c>
      <c r="AJ568" s="11">
        <f>IF(tblOrdenes[[#This Row],[orden]]="","",MAX(0,_xlfn.XLOOKUP(tblOrdenes[[#This Row],[id_operacion]],tblEjecucion[id_operacion],tblEjecucion[costo_plan_total],0)-tblOrdenes[[#This Row],[costo_servicio]]))</f>
        <v/>
      </c>
      <c r="AK568" s="11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3">
        <f>IF(tblOrdenes[[#This Row],[fecha_inicio]]="","",TODAY()-tblOrdenes[[#This Row],[fecha_inicio]])</f>
        <v/>
      </c>
      <c r="AB5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1">
        <f>IF(tblOrdenes[[#This Row],[orden]]="","",_xlfn.XLOOKUP(tblOrdenes[[#This Row],[id_operacion]],tblEjecucion[id_operacion],tblEjecucion[precio],0))</f>
        <v/>
      </c>
      <c r="AJ569" s="11">
        <f>IF(tblOrdenes[[#This Row],[orden]]="","",MAX(0,_xlfn.XLOOKUP(tblOrdenes[[#This Row],[id_operacion]],tblEjecucion[id_operacion],tblEjecucion[costo_plan_total],0)-tblOrdenes[[#This Row],[costo_servicio]]))</f>
        <v/>
      </c>
      <c r="AK569" s="11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3">
        <f>IF(tblOrdenes[[#This Row],[fecha_inicio]]="","",TODAY()-tblOrdenes[[#This Row],[fecha_inicio]])</f>
        <v/>
      </c>
      <c r="AB5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1">
        <f>IF(tblOrdenes[[#This Row],[orden]]="","",_xlfn.XLOOKUP(tblOrdenes[[#This Row],[id_operacion]],tblEjecucion[id_operacion],tblEjecucion[precio],0))</f>
        <v/>
      </c>
      <c r="AJ570" s="11">
        <f>IF(tblOrdenes[[#This Row],[orden]]="","",MAX(0,_xlfn.XLOOKUP(tblOrdenes[[#This Row],[id_operacion]],tblEjecucion[id_operacion],tblEjecucion[costo_plan_total],0)-tblOrdenes[[#This Row],[costo_servicio]]))</f>
        <v/>
      </c>
      <c r="AK570" s="11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3">
        <f>IF(tblOrdenes[[#This Row],[fecha_inicio]]="","",TODAY()-tblOrdenes[[#This Row],[fecha_inicio]])</f>
        <v/>
      </c>
      <c r="AB5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1">
        <f>IF(tblOrdenes[[#This Row],[orden]]="","",_xlfn.XLOOKUP(tblOrdenes[[#This Row],[id_operacion]],tblEjecucion[id_operacion],tblEjecucion[precio],0))</f>
        <v/>
      </c>
      <c r="AJ571" s="11">
        <f>IF(tblOrdenes[[#This Row],[orden]]="","",MAX(0,_xlfn.XLOOKUP(tblOrdenes[[#This Row],[id_operacion]],tblEjecucion[id_operacion],tblEjecucion[costo_plan_total],0)-tblOrdenes[[#This Row],[costo_servicio]]))</f>
        <v/>
      </c>
      <c r="AK571" s="11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3">
        <f>IF(tblOrdenes[[#This Row],[fecha_inicio]]="","",TODAY()-tblOrdenes[[#This Row],[fecha_inicio]])</f>
        <v/>
      </c>
      <c r="AB5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1">
        <f>IF(tblOrdenes[[#This Row],[orden]]="","",_xlfn.XLOOKUP(tblOrdenes[[#This Row],[id_operacion]],tblEjecucion[id_operacion],tblEjecucion[precio],0))</f>
        <v/>
      </c>
      <c r="AJ572" s="11">
        <f>IF(tblOrdenes[[#This Row],[orden]]="","",MAX(0,_xlfn.XLOOKUP(tblOrdenes[[#This Row],[id_operacion]],tblEjecucion[id_operacion],tblEjecucion[costo_plan_total],0)-tblOrdenes[[#This Row],[costo_servicio]]))</f>
        <v/>
      </c>
      <c r="AK572" s="11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3">
        <f>IF(tblOrdenes[[#This Row],[fecha_inicio]]="","",TODAY()-tblOrdenes[[#This Row],[fecha_inicio]])</f>
        <v/>
      </c>
      <c r="AB5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1">
        <f>IF(tblOrdenes[[#This Row],[orden]]="","",_xlfn.XLOOKUP(tblOrdenes[[#This Row],[id_operacion]],tblEjecucion[id_operacion],tblEjecucion[precio],0))</f>
        <v/>
      </c>
      <c r="AJ573" s="11">
        <f>IF(tblOrdenes[[#This Row],[orden]]="","",MAX(0,_xlfn.XLOOKUP(tblOrdenes[[#This Row],[id_operacion]],tblEjecucion[id_operacion],tblEjecucion[costo_plan_total],0)-tblOrdenes[[#This Row],[costo_servicio]]))</f>
        <v/>
      </c>
      <c r="AK573" s="11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3">
        <f>IF(tblOrdenes[[#This Row],[fecha_inicio]]="","",TODAY()-tblOrdenes[[#This Row],[fecha_inicio]])</f>
        <v/>
      </c>
      <c r="AB5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1">
        <f>IF(tblOrdenes[[#This Row],[orden]]="","",_xlfn.XLOOKUP(tblOrdenes[[#This Row],[id_operacion]],tblEjecucion[id_operacion],tblEjecucion[precio],0))</f>
        <v/>
      </c>
      <c r="AJ574" s="11">
        <f>IF(tblOrdenes[[#This Row],[orden]]="","",MAX(0,_xlfn.XLOOKUP(tblOrdenes[[#This Row],[id_operacion]],tblEjecucion[id_operacion],tblEjecucion[costo_plan_total],0)-tblOrdenes[[#This Row],[costo_servicio]]))</f>
        <v/>
      </c>
      <c r="AK574" s="11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3">
        <f>IF(tblOrdenes[[#This Row],[fecha_inicio]]="","",TODAY()-tblOrdenes[[#This Row],[fecha_inicio]])</f>
        <v/>
      </c>
      <c r="AB5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1">
        <f>IF(tblOrdenes[[#This Row],[orden]]="","",_xlfn.XLOOKUP(tblOrdenes[[#This Row],[id_operacion]],tblEjecucion[id_operacion],tblEjecucion[precio],0))</f>
        <v/>
      </c>
      <c r="AJ575" s="11">
        <f>IF(tblOrdenes[[#This Row],[orden]]="","",MAX(0,_xlfn.XLOOKUP(tblOrdenes[[#This Row],[id_operacion]],tblEjecucion[id_operacion],tblEjecucion[costo_plan_total],0)-tblOrdenes[[#This Row],[costo_servicio]]))</f>
        <v/>
      </c>
      <c r="AK575" s="11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3">
        <f>IF(tblOrdenes[[#This Row],[fecha_inicio]]="","",TODAY()-tblOrdenes[[#This Row],[fecha_inicio]])</f>
        <v/>
      </c>
      <c r="AB5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1">
        <f>IF(tblOrdenes[[#This Row],[orden]]="","",_xlfn.XLOOKUP(tblOrdenes[[#This Row],[id_operacion]],tblEjecucion[id_operacion],tblEjecucion[precio],0))</f>
        <v/>
      </c>
      <c r="AJ576" s="11">
        <f>IF(tblOrdenes[[#This Row],[orden]]="","",MAX(0,_xlfn.XLOOKUP(tblOrdenes[[#This Row],[id_operacion]],tblEjecucion[id_operacion],tblEjecucion[costo_plan_total],0)-tblOrdenes[[#This Row],[costo_servicio]]))</f>
        <v/>
      </c>
      <c r="AK576" s="11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3">
        <f>IF(tblOrdenes[[#This Row],[fecha_inicio]]="","",TODAY()-tblOrdenes[[#This Row],[fecha_inicio]])</f>
        <v/>
      </c>
      <c r="AB5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1">
        <f>IF(tblOrdenes[[#This Row],[orden]]="","",_xlfn.XLOOKUP(tblOrdenes[[#This Row],[id_operacion]],tblEjecucion[id_operacion],tblEjecucion[precio],0))</f>
        <v/>
      </c>
      <c r="AJ577" s="11">
        <f>IF(tblOrdenes[[#This Row],[orden]]="","",MAX(0,_xlfn.XLOOKUP(tblOrdenes[[#This Row],[id_operacion]],tblEjecucion[id_operacion],tblEjecucion[costo_plan_total],0)-tblOrdenes[[#This Row],[costo_servicio]]))</f>
        <v/>
      </c>
      <c r="AK577" s="11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3">
        <f>IF(tblOrdenes[[#This Row],[fecha_inicio]]="","",TODAY()-tblOrdenes[[#This Row],[fecha_inicio]])</f>
        <v/>
      </c>
      <c r="AB5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1">
        <f>IF(tblOrdenes[[#This Row],[orden]]="","",_xlfn.XLOOKUP(tblOrdenes[[#This Row],[id_operacion]],tblEjecucion[id_operacion],tblEjecucion[precio],0))</f>
        <v/>
      </c>
      <c r="AJ578" s="11">
        <f>IF(tblOrdenes[[#This Row],[orden]]="","",MAX(0,_xlfn.XLOOKUP(tblOrdenes[[#This Row],[id_operacion]],tblEjecucion[id_operacion],tblEjecucion[costo_plan_total],0)-tblOrdenes[[#This Row],[costo_servicio]]))</f>
        <v/>
      </c>
      <c r="AK578" s="11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3">
        <f>IF(tblOrdenes[[#This Row],[fecha_inicio]]="","",TODAY()-tblOrdenes[[#This Row],[fecha_inicio]])</f>
        <v/>
      </c>
      <c r="AB5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1">
        <f>IF(tblOrdenes[[#This Row],[orden]]="","",_xlfn.XLOOKUP(tblOrdenes[[#This Row],[id_operacion]],tblEjecucion[id_operacion],tblEjecucion[precio],0))</f>
        <v/>
      </c>
      <c r="AJ579" s="11">
        <f>IF(tblOrdenes[[#This Row],[orden]]="","",MAX(0,_xlfn.XLOOKUP(tblOrdenes[[#This Row],[id_operacion]],tblEjecucion[id_operacion],tblEjecucion[costo_plan_total],0)-tblOrdenes[[#This Row],[costo_servicio]]))</f>
        <v/>
      </c>
      <c r="AK579" s="11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3">
        <f>IF(tblOrdenes[[#This Row],[fecha_inicio]]="","",TODAY()-tblOrdenes[[#This Row],[fecha_inicio]])</f>
        <v/>
      </c>
      <c r="AB5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1">
        <f>IF(tblOrdenes[[#This Row],[orden]]="","",_xlfn.XLOOKUP(tblOrdenes[[#This Row],[id_operacion]],tblEjecucion[id_operacion],tblEjecucion[precio],0))</f>
        <v/>
      </c>
      <c r="AJ580" s="11">
        <f>IF(tblOrdenes[[#This Row],[orden]]="","",MAX(0,_xlfn.XLOOKUP(tblOrdenes[[#This Row],[id_operacion]],tblEjecucion[id_operacion],tblEjecucion[costo_plan_total],0)-tblOrdenes[[#This Row],[costo_servicio]]))</f>
        <v/>
      </c>
      <c r="AK580" s="11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3">
        <f>IF(tblOrdenes[[#This Row],[fecha_inicio]]="","",TODAY()-tblOrdenes[[#This Row],[fecha_inicio]])</f>
        <v/>
      </c>
      <c r="AB5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1">
        <f>IF(tblOrdenes[[#This Row],[orden]]="","",_xlfn.XLOOKUP(tblOrdenes[[#This Row],[id_operacion]],tblEjecucion[id_operacion],tblEjecucion[precio],0))</f>
        <v/>
      </c>
      <c r="AJ581" s="11">
        <f>IF(tblOrdenes[[#This Row],[orden]]="","",MAX(0,_xlfn.XLOOKUP(tblOrdenes[[#This Row],[id_operacion]],tblEjecucion[id_operacion],tblEjecucion[costo_plan_total],0)-tblOrdenes[[#This Row],[costo_servicio]]))</f>
        <v/>
      </c>
      <c r="AK581" s="11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3">
        <f>IF(tblOrdenes[[#This Row],[fecha_inicio]]="","",TODAY()-tblOrdenes[[#This Row],[fecha_inicio]])</f>
        <v/>
      </c>
      <c r="AB5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1">
        <f>IF(tblOrdenes[[#This Row],[orden]]="","",_xlfn.XLOOKUP(tblOrdenes[[#This Row],[id_operacion]],tblEjecucion[id_operacion],tblEjecucion[precio],0))</f>
        <v/>
      </c>
      <c r="AJ582" s="11">
        <f>IF(tblOrdenes[[#This Row],[orden]]="","",MAX(0,_xlfn.XLOOKUP(tblOrdenes[[#This Row],[id_operacion]],tblEjecucion[id_operacion],tblEjecucion[costo_plan_total],0)-tblOrdenes[[#This Row],[costo_servicio]]))</f>
        <v/>
      </c>
      <c r="AK582" s="11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3">
        <f>IF(tblOrdenes[[#This Row],[fecha_inicio]]="","",TODAY()-tblOrdenes[[#This Row],[fecha_inicio]])</f>
        <v/>
      </c>
      <c r="AB5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1">
        <f>IF(tblOrdenes[[#This Row],[orden]]="","",_xlfn.XLOOKUP(tblOrdenes[[#This Row],[id_operacion]],tblEjecucion[id_operacion],tblEjecucion[precio],0))</f>
        <v/>
      </c>
      <c r="AJ583" s="11">
        <f>IF(tblOrdenes[[#This Row],[orden]]="","",MAX(0,_xlfn.XLOOKUP(tblOrdenes[[#This Row],[id_operacion]],tblEjecucion[id_operacion],tblEjecucion[costo_plan_total],0)-tblOrdenes[[#This Row],[costo_servicio]]))</f>
        <v/>
      </c>
      <c r="AK583" s="11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3">
        <f>IF(tblOrdenes[[#This Row],[fecha_inicio]]="","",TODAY()-tblOrdenes[[#This Row],[fecha_inicio]])</f>
        <v/>
      </c>
      <c r="AB5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1">
        <f>IF(tblOrdenes[[#This Row],[orden]]="","",_xlfn.XLOOKUP(tblOrdenes[[#This Row],[id_operacion]],tblEjecucion[id_operacion],tblEjecucion[precio],0))</f>
        <v/>
      </c>
      <c r="AJ584" s="11">
        <f>IF(tblOrdenes[[#This Row],[orden]]="","",MAX(0,_xlfn.XLOOKUP(tblOrdenes[[#This Row],[id_operacion]],tblEjecucion[id_operacion],tblEjecucion[costo_plan_total],0)-tblOrdenes[[#This Row],[costo_servicio]]))</f>
        <v/>
      </c>
      <c r="AK584" s="11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3">
        <f>IF(tblOrdenes[[#This Row],[fecha_inicio]]="","",TODAY()-tblOrdenes[[#This Row],[fecha_inicio]])</f>
        <v/>
      </c>
      <c r="AB5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1">
        <f>IF(tblOrdenes[[#This Row],[orden]]="","",_xlfn.XLOOKUP(tblOrdenes[[#This Row],[id_operacion]],tblEjecucion[id_operacion],tblEjecucion[precio],0))</f>
        <v/>
      </c>
      <c r="AJ585" s="11">
        <f>IF(tblOrdenes[[#This Row],[orden]]="","",MAX(0,_xlfn.XLOOKUP(tblOrdenes[[#This Row],[id_operacion]],tblEjecucion[id_operacion],tblEjecucion[costo_plan_total],0)-tblOrdenes[[#This Row],[costo_servicio]]))</f>
        <v/>
      </c>
      <c r="AK585" s="11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3">
        <f>IF(tblOrdenes[[#This Row],[fecha_inicio]]="","",TODAY()-tblOrdenes[[#This Row],[fecha_inicio]])</f>
        <v/>
      </c>
      <c r="AB5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1">
        <f>IF(tblOrdenes[[#This Row],[orden]]="","",_xlfn.XLOOKUP(tblOrdenes[[#This Row],[id_operacion]],tblEjecucion[id_operacion],tblEjecucion[precio],0))</f>
        <v/>
      </c>
      <c r="AJ586" s="11">
        <f>IF(tblOrdenes[[#This Row],[orden]]="","",MAX(0,_xlfn.XLOOKUP(tblOrdenes[[#This Row],[id_operacion]],tblEjecucion[id_operacion],tblEjecucion[costo_plan_total],0)-tblOrdenes[[#This Row],[costo_servicio]]))</f>
        <v/>
      </c>
      <c r="AK586" s="11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3">
        <f>IF(tblOrdenes[[#This Row],[fecha_inicio]]="","",TODAY()-tblOrdenes[[#This Row],[fecha_inicio]])</f>
        <v/>
      </c>
      <c r="AB5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1">
        <f>IF(tblOrdenes[[#This Row],[orden]]="","",_xlfn.XLOOKUP(tblOrdenes[[#This Row],[id_operacion]],tblEjecucion[id_operacion],tblEjecucion[precio],0))</f>
        <v/>
      </c>
      <c r="AJ587" s="11">
        <f>IF(tblOrdenes[[#This Row],[orden]]="","",MAX(0,_xlfn.XLOOKUP(tblOrdenes[[#This Row],[id_operacion]],tblEjecucion[id_operacion],tblEjecucion[costo_plan_total],0)-tblOrdenes[[#This Row],[costo_servicio]]))</f>
        <v/>
      </c>
      <c r="AK587" s="11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3">
        <f>IF(tblOrdenes[[#This Row],[fecha_inicio]]="","",TODAY()-tblOrdenes[[#This Row],[fecha_inicio]])</f>
        <v/>
      </c>
      <c r="AB5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1">
        <f>IF(tblOrdenes[[#This Row],[orden]]="","",_xlfn.XLOOKUP(tblOrdenes[[#This Row],[id_operacion]],tblEjecucion[id_operacion],tblEjecucion[precio],0))</f>
        <v/>
      </c>
      <c r="AJ588" s="11">
        <f>IF(tblOrdenes[[#This Row],[orden]]="","",MAX(0,_xlfn.XLOOKUP(tblOrdenes[[#This Row],[id_operacion]],tblEjecucion[id_operacion],tblEjecucion[costo_plan_total],0)-tblOrdenes[[#This Row],[costo_servicio]]))</f>
        <v/>
      </c>
      <c r="AK588" s="11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3">
        <f>IF(tblOrdenes[[#This Row],[fecha_inicio]]="","",TODAY()-tblOrdenes[[#This Row],[fecha_inicio]])</f>
        <v/>
      </c>
      <c r="AB5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1">
        <f>IF(tblOrdenes[[#This Row],[orden]]="","",_xlfn.XLOOKUP(tblOrdenes[[#This Row],[id_operacion]],tblEjecucion[id_operacion],tblEjecucion[precio],0))</f>
        <v/>
      </c>
      <c r="AJ589" s="11">
        <f>IF(tblOrdenes[[#This Row],[orden]]="","",MAX(0,_xlfn.XLOOKUP(tblOrdenes[[#This Row],[id_operacion]],tblEjecucion[id_operacion],tblEjecucion[costo_plan_total],0)-tblOrdenes[[#This Row],[costo_servicio]]))</f>
        <v/>
      </c>
      <c r="AK589" s="11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3">
        <f>IF(tblOrdenes[[#This Row],[fecha_inicio]]="","",TODAY()-tblOrdenes[[#This Row],[fecha_inicio]])</f>
        <v/>
      </c>
      <c r="AB5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1">
        <f>IF(tblOrdenes[[#This Row],[orden]]="","",_xlfn.XLOOKUP(tblOrdenes[[#This Row],[id_operacion]],tblEjecucion[id_operacion],tblEjecucion[precio],0))</f>
        <v/>
      </c>
      <c r="AJ590" s="11">
        <f>IF(tblOrdenes[[#This Row],[orden]]="","",MAX(0,_xlfn.XLOOKUP(tblOrdenes[[#This Row],[id_operacion]],tblEjecucion[id_operacion],tblEjecucion[costo_plan_total],0)-tblOrdenes[[#This Row],[costo_servicio]]))</f>
        <v/>
      </c>
      <c r="AK590" s="11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3">
        <f>IF(tblOrdenes[[#This Row],[fecha_inicio]]="","",TODAY()-tblOrdenes[[#This Row],[fecha_inicio]])</f>
        <v/>
      </c>
      <c r="AB5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1">
        <f>IF(tblOrdenes[[#This Row],[orden]]="","",_xlfn.XLOOKUP(tblOrdenes[[#This Row],[id_operacion]],tblEjecucion[id_operacion],tblEjecucion[precio],0))</f>
        <v/>
      </c>
      <c r="AJ591" s="11">
        <f>IF(tblOrdenes[[#This Row],[orden]]="","",MAX(0,_xlfn.XLOOKUP(tblOrdenes[[#This Row],[id_operacion]],tblEjecucion[id_operacion],tblEjecucion[costo_plan_total],0)-tblOrdenes[[#This Row],[costo_servicio]]))</f>
        <v/>
      </c>
      <c r="AK591" s="11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3">
        <f>IF(tblOrdenes[[#This Row],[fecha_inicio]]="","",TODAY()-tblOrdenes[[#This Row],[fecha_inicio]])</f>
        <v/>
      </c>
      <c r="AB5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1">
        <f>IF(tblOrdenes[[#This Row],[orden]]="","",_xlfn.XLOOKUP(tblOrdenes[[#This Row],[id_operacion]],tblEjecucion[id_operacion],tblEjecucion[precio],0))</f>
        <v/>
      </c>
      <c r="AJ592" s="11">
        <f>IF(tblOrdenes[[#This Row],[orden]]="","",MAX(0,_xlfn.XLOOKUP(tblOrdenes[[#This Row],[id_operacion]],tblEjecucion[id_operacion],tblEjecucion[costo_plan_total],0)-tblOrdenes[[#This Row],[costo_servicio]]))</f>
        <v/>
      </c>
      <c r="AK592" s="11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3">
        <f>IF(tblOrdenes[[#This Row],[fecha_inicio]]="","",TODAY()-tblOrdenes[[#This Row],[fecha_inicio]])</f>
        <v/>
      </c>
      <c r="AB5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1">
        <f>IF(tblOrdenes[[#This Row],[orden]]="","",_xlfn.XLOOKUP(tblOrdenes[[#This Row],[id_operacion]],tblEjecucion[id_operacion],tblEjecucion[precio],0))</f>
        <v/>
      </c>
      <c r="AJ593" s="11">
        <f>IF(tblOrdenes[[#This Row],[orden]]="","",MAX(0,_xlfn.XLOOKUP(tblOrdenes[[#This Row],[id_operacion]],tblEjecucion[id_operacion],tblEjecucion[costo_plan_total],0)-tblOrdenes[[#This Row],[costo_servicio]]))</f>
        <v/>
      </c>
      <c r="AK593" s="11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3">
        <f>IF(tblOrdenes[[#This Row],[fecha_inicio]]="","",TODAY()-tblOrdenes[[#This Row],[fecha_inicio]])</f>
        <v/>
      </c>
      <c r="AB5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1">
        <f>IF(tblOrdenes[[#This Row],[orden]]="","",_xlfn.XLOOKUP(tblOrdenes[[#This Row],[id_operacion]],tblEjecucion[id_operacion],tblEjecucion[precio],0))</f>
        <v/>
      </c>
      <c r="AJ594" s="11">
        <f>IF(tblOrdenes[[#This Row],[orden]]="","",MAX(0,_xlfn.XLOOKUP(tblOrdenes[[#This Row],[id_operacion]],tblEjecucion[id_operacion],tblEjecucion[costo_plan_total],0)-tblOrdenes[[#This Row],[costo_servicio]]))</f>
        <v/>
      </c>
      <c r="AK594" s="11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3">
        <f>IF(tblOrdenes[[#This Row],[fecha_inicio]]="","",TODAY()-tblOrdenes[[#This Row],[fecha_inicio]])</f>
        <v/>
      </c>
      <c r="AB5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1">
        <f>IF(tblOrdenes[[#This Row],[orden]]="","",_xlfn.XLOOKUP(tblOrdenes[[#This Row],[id_operacion]],tblEjecucion[id_operacion],tblEjecucion[precio],0))</f>
        <v/>
      </c>
      <c r="AJ595" s="11">
        <f>IF(tblOrdenes[[#This Row],[orden]]="","",MAX(0,_xlfn.XLOOKUP(tblOrdenes[[#This Row],[id_operacion]],tblEjecucion[id_operacion],tblEjecucion[costo_plan_total],0)-tblOrdenes[[#This Row],[costo_servicio]]))</f>
        <v/>
      </c>
      <c r="AK595" s="11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3">
        <f>IF(tblOrdenes[[#This Row],[fecha_inicio]]="","",TODAY()-tblOrdenes[[#This Row],[fecha_inicio]])</f>
        <v/>
      </c>
      <c r="AB5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1">
        <f>IF(tblOrdenes[[#This Row],[orden]]="","",_xlfn.XLOOKUP(tblOrdenes[[#This Row],[id_operacion]],tblEjecucion[id_operacion],tblEjecucion[precio],0))</f>
        <v/>
      </c>
      <c r="AJ596" s="11">
        <f>IF(tblOrdenes[[#This Row],[orden]]="","",MAX(0,_xlfn.XLOOKUP(tblOrdenes[[#This Row],[id_operacion]],tblEjecucion[id_operacion],tblEjecucion[costo_plan_total],0)-tblOrdenes[[#This Row],[costo_servicio]]))</f>
        <v/>
      </c>
      <c r="AK596" s="11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3">
        <f>IF(tblOrdenes[[#This Row],[fecha_inicio]]="","",TODAY()-tblOrdenes[[#This Row],[fecha_inicio]])</f>
        <v/>
      </c>
      <c r="AB5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1">
        <f>IF(tblOrdenes[[#This Row],[orden]]="","",_xlfn.XLOOKUP(tblOrdenes[[#This Row],[id_operacion]],tblEjecucion[id_operacion],tblEjecucion[precio],0))</f>
        <v/>
      </c>
      <c r="AJ597" s="11">
        <f>IF(tblOrdenes[[#This Row],[orden]]="","",MAX(0,_xlfn.XLOOKUP(tblOrdenes[[#This Row],[id_operacion]],tblEjecucion[id_operacion],tblEjecucion[costo_plan_total],0)-tblOrdenes[[#This Row],[costo_servicio]]))</f>
        <v/>
      </c>
      <c r="AK597" s="11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3">
        <f>IF(tblOrdenes[[#This Row],[fecha_inicio]]="","",TODAY()-tblOrdenes[[#This Row],[fecha_inicio]])</f>
        <v/>
      </c>
      <c r="AB5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1">
        <f>IF(tblOrdenes[[#This Row],[orden]]="","",_xlfn.XLOOKUP(tblOrdenes[[#This Row],[id_operacion]],tblEjecucion[id_operacion],tblEjecucion[precio],0))</f>
        <v/>
      </c>
      <c r="AJ598" s="11">
        <f>IF(tblOrdenes[[#This Row],[orden]]="","",MAX(0,_xlfn.XLOOKUP(tblOrdenes[[#This Row],[id_operacion]],tblEjecucion[id_operacion],tblEjecucion[costo_plan_total],0)-tblOrdenes[[#This Row],[costo_servicio]]))</f>
        <v/>
      </c>
      <c r="AK598" s="11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3">
        <f>IF(tblOrdenes[[#This Row],[fecha_inicio]]="","",TODAY()-tblOrdenes[[#This Row],[fecha_inicio]])</f>
        <v/>
      </c>
      <c r="AB5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1">
        <f>IF(tblOrdenes[[#This Row],[orden]]="","",_xlfn.XLOOKUP(tblOrdenes[[#This Row],[id_operacion]],tblEjecucion[id_operacion],tblEjecucion[precio],0))</f>
        <v/>
      </c>
      <c r="AJ599" s="11">
        <f>IF(tblOrdenes[[#This Row],[orden]]="","",MAX(0,_xlfn.XLOOKUP(tblOrdenes[[#This Row],[id_operacion]],tblEjecucion[id_operacion],tblEjecucion[costo_plan_total],0)-tblOrdenes[[#This Row],[costo_servicio]]))</f>
        <v/>
      </c>
      <c r="AK599" s="11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3">
        <f>IF(tblOrdenes[[#This Row],[fecha_inicio]]="","",TODAY()-tblOrdenes[[#This Row],[fecha_inicio]])</f>
        <v/>
      </c>
      <c r="AB6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1">
        <f>IF(tblOrdenes[[#This Row],[orden]]="","",_xlfn.XLOOKUP(tblOrdenes[[#This Row],[id_operacion]],tblEjecucion[id_operacion],tblEjecucion[precio],0))</f>
        <v/>
      </c>
      <c r="AJ600" s="11">
        <f>IF(tblOrdenes[[#This Row],[orden]]="","",MAX(0,_xlfn.XLOOKUP(tblOrdenes[[#This Row],[id_operacion]],tblEjecucion[id_operacion],tblEjecucion[costo_plan_total],0)-tblOrdenes[[#This Row],[costo_servicio]]))</f>
        <v/>
      </c>
      <c r="AK600" s="11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3">
        <f>IF(tblOrdenes[[#This Row],[fecha_inicio]]="","",TODAY()-tblOrdenes[[#This Row],[fecha_inicio]])</f>
        <v/>
      </c>
      <c r="AB6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1">
        <f>IF(tblOrdenes[[#This Row],[orden]]="","",_xlfn.XLOOKUP(tblOrdenes[[#This Row],[id_operacion]],tblEjecucion[id_operacion],tblEjecucion[precio],0))</f>
        <v/>
      </c>
      <c r="AJ601" s="11">
        <f>IF(tblOrdenes[[#This Row],[orden]]="","",MAX(0,_xlfn.XLOOKUP(tblOrdenes[[#This Row],[id_operacion]],tblEjecucion[id_operacion],tblEjecucion[costo_plan_total],0)-tblOrdenes[[#This Row],[costo_servicio]]))</f>
        <v/>
      </c>
      <c r="AK601" s="11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3">
        <f>IF(tblOrdenes[[#This Row],[fecha_inicio]]="","",TODAY()-tblOrdenes[[#This Row],[fecha_inicio]])</f>
        <v/>
      </c>
      <c r="AB6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1">
        <f>IF(tblOrdenes[[#This Row],[orden]]="","",_xlfn.XLOOKUP(tblOrdenes[[#This Row],[id_operacion]],tblEjecucion[id_operacion],tblEjecucion[precio],0))</f>
        <v/>
      </c>
      <c r="AJ602" s="11">
        <f>IF(tblOrdenes[[#This Row],[orden]]="","",MAX(0,_xlfn.XLOOKUP(tblOrdenes[[#This Row],[id_operacion]],tblEjecucion[id_operacion],tblEjecucion[costo_plan_total],0)-tblOrdenes[[#This Row],[costo_servicio]]))</f>
        <v/>
      </c>
      <c r="AK602" s="11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3">
        <f>IF(tblOrdenes[[#This Row],[fecha_inicio]]="","",TODAY()-tblOrdenes[[#This Row],[fecha_inicio]])</f>
        <v/>
      </c>
      <c r="AB6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1">
        <f>IF(tblOrdenes[[#This Row],[orden]]="","",_xlfn.XLOOKUP(tblOrdenes[[#This Row],[id_operacion]],tblEjecucion[id_operacion],tblEjecucion[precio],0))</f>
        <v/>
      </c>
      <c r="AJ603" s="11">
        <f>IF(tblOrdenes[[#This Row],[orden]]="","",MAX(0,_xlfn.XLOOKUP(tblOrdenes[[#This Row],[id_operacion]],tblEjecucion[id_operacion],tblEjecucion[costo_plan_total],0)-tblOrdenes[[#This Row],[costo_servicio]]))</f>
        <v/>
      </c>
      <c r="AK603" s="11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3">
        <f>IF(tblOrdenes[[#This Row],[fecha_inicio]]="","",TODAY()-tblOrdenes[[#This Row],[fecha_inicio]])</f>
        <v/>
      </c>
      <c r="AB6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1">
        <f>IF(tblOrdenes[[#This Row],[orden]]="","",_xlfn.XLOOKUP(tblOrdenes[[#This Row],[id_operacion]],tblEjecucion[id_operacion],tblEjecucion[precio],0))</f>
        <v/>
      </c>
      <c r="AJ604" s="11">
        <f>IF(tblOrdenes[[#This Row],[orden]]="","",MAX(0,_xlfn.XLOOKUP(tblOrdenes[[#This Row],[id_operacion]],tblEjecucion[id_operacion],tblEjecucion[costo_plan_total],0)-tblOrdenes[[#This Row],[costo_servicio]]))</f>
        <v/>
      </c>
      <c r="AK604" s="11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3">
        <f>IF(tblOrdenes[[#This Row],[fecha_inicio]]="","",TODAY()-tblOrdenes[[#This Row],[fecha_inicio]])</f>
        <v/>
      </c>
      <c r="AB6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1">
        <f>IF(tblOrdenes[[#This Row],[orden]]="","",_xlfn.XLOOKUP(tblOrdenes[[#This Row],[id_operacion]],tblEjecucion[id_operacion],tblEjecucion[precio],0))</f>
        <v/>
      </c>
      <c r="AJ605" s="11">
        <f>IF(tblOrdenes[[#This Row],[orden]]="","",MAX(0,_xlfn.XLOOKUP(tblOrdenes[[#This Row],[id_operacion]],tblEjecucion[id_operacion],tblEjecucion[costo_plan_total],0)-tblOrdenes[[#This Row],[costo_servicio]]))</f>
        <v/>
      </c>
      <c r="AK605" s="11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3">
        <f>IF(tblOrdenes[[#This Row],[fecha_inicio]]="","",TODAY()-tblOrdenes[[#This Row],[fecha_inicio]])</f>
        <v/>
      </c>
      <c r="AB6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1">
        <f>IF(tblOrdenes[[#This Row],[orden]]="","",_xlfn.XLOOKUP(tblOrdenes[[#This Row],[id_operacion]],tblEjecucion[id_operacion],tblEjecucion[precio],0))</f>
        <v/>
      </c>
      <c r="AJ606" s="11">
        <f>IF(tblOrdenes[[#This Row],[orden]]="","",MAX(0,_xlfn.XLOOKUP(tblOrdenes[[#This Row],[id_operacion]],tblEjecucion[id_operacion],tblEjecucion[costo_plan_total],0)-tblOrdenes[[#This Row],[costo_servicio]]))</f>
        <v/>
      </c>
      <c r="AK606" s="11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3">
        <f>IF(tblOrdenes[[#This Row],[fecha_inicio]]="","",TODAY()-tblOrdenes[[#This Row],[fecha_inicio]])</f>
        <v/>
      </c>
      <c r="AB6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1">
        <f>IF(tblOrdenes[[#This Row],[orden]]="","",_xlfn.XLOOKUP(tblOrdenes[[#This Row],[id_operacion]],tblEjecucion[id_operacion],tblEjecucion[precio],0))</f>
        <v/>
      </c>
      <c r="AJ607" s="11">
        <f>IF(tblOrdenes[[#This Row],[orden]]="","",MAX(0,_xlfn.XLOOKUP(tblOrdenes[[#This Row],[id_operacion]],tblEjecucion[id_operacion],tblEjecucion[costo_plan_total],0)-tblOrdenes[[#This Row],[costo_servicio]]))</f>
        <v/>
      </c>
      <c r="AK607" s="11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3">
        <f>IF(tblOrdenes[[#This Row],[fecha_inicio]]="","",TODAY()-tblOrdenes[[#This Row],[fecha_inicio]])</f>
        <v/>
      </c>
      <c r="AB6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1">
        <f>IF(tblOrdenes[[#This Row],[orden]]="","",_xlfn.XLOOKUP(tblOrdenes[[#This Row],[id_operacion]],tblEjecucion[id_operacion],tblEjecucion[precio],0))</f>
        <v/>
      </c>
      <c r="AJ608" s="11">
        <f>IF(tblOrdenes[[#This Row],[orden]]="","",MAX(0,_xlfn.XLOOKUP(tblOrdenes[[#This Row],[id_operacion]],tblEjecucion[id_operacion],tblEjecucion[costo_plan_total],0)-tblOrdenes[[#This Row],[costo_servicio]]))</f>
        <v/>
      </c>
      <c r="AK608" s="11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3">
        <f>IF(tblOrdenes[[#This Row],[fecha_inicio]]="","",TODAY()-tblOrdenes[[#This Row],[fecha_inicio]])</f>
        <v/>
      </c>
      <c r="AB6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1">
        <f>IF(tblOrdenes[[#This Row],[orden]]="","",_xlfn.XLOOKUP(tblOrdenes[[#This Row],[id_operacion]],tblEjecucion[id_operacion],tblEjecucion[precio],0))</f>
        <v/>
      </c>
      <c r="AJ609" s="11">
        <f>IF(tblOrdenes[[#This Row],[orden]]="","",MAX(0,_xlfn.XLOOKUP(tblOrdenes[[#This Row],[id_operacion]],tblEjecucion[id_operacion],tblEjecucion[costo_plan_total],0)-tblOrdenes[[#This Row],[costo_servicio]]))</f>
        <v/>
      </c>
      <c r="AK609" s="11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3">
        <f>IF(tblOrdenes[[#This Row],[fecha_inicio]]="","",TODAY()-tblOrdenes[[#This Row],[fecha_inicio]])</f>
        <v/>
      </c>
      <c r="AB6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1">
        <f>IF(tblOrdenes[[#This Row],[orden]]="","",_xlfn.XLOOKUP(tblOrdenes[[#This Row],[id_operacion]],tblEjecucion[id_operacion],tblEjecucion[precio],0))</f>
        <v/>
      </c>
      <c r="AJ610" s="11">
        <f>IF(tblOrdenes[[#This Row],[orden]]="","",MAX(0,_xlfn.XLOOKUP(tblOrdenes[[#This Row],[id_operacion]],tblEjecucion[id_operacion],tblEjecucion[costo_plan_total],0)-tblOrdenes[[#This Row],[costo_servicio]]))</f>
        <v/>
      </c>
      <c r="AK610" s="11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3">
        <f>IF(tblOrdenes[[#This Row],[fecha_inicio]]="","",TODAY()-tblOrdenes[[#This Row],[fecha_inicio]])</f>
        <v/>
      </c>
      <c r="AB6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1">
        <f>IF(tblOrdenes[[#This Row],[orden]]="","",_xlfn.XLOOKUP(tblOrdenes[[#This Row],[id_operacion]],tblEjecucion[id_operacion],tblEjecucion[precio],0))</f>
        <v/>
      </c>
      <c r="AJ611" s="11">
        <f>IF(tblOrdenes[[#This Row],[orden]]="","",MAX(0,_xlfn.XLOOKUP(tblOrdenes[[#This Row],[id_operacion]],tblEjecucion[id_operacion],tblEjecucion[costo_plan_total],0)-tblOrdenes[[#This Row],[costo_servicio]]))</f>
        <v/>
      </c>
      <c r="AK611" s="11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3">
        <f>IF(tblOrdenes[[#This Row],[fecha_inicio]]="","",TODAY()-tblOrdenes[[#This Row],[fecha_inicio]])</f>
        <v/>
      </c>
      <c r="AB6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1">
        <f>IF(tblOrdenes[[#This Row],[orden]]="","",_xlfn.XLOOKUP(tblOrdenes[[#This Row],[id_operacion]],tblEjecucion[id_operacion],tblEjecucion[precio],0))</f>
        <v/>
      </c>
      <c r="AJ612" s="11">
        <f>IF(tblOrdenes[[#This Row],[orden]]="","",MAX(0,_xlfn.XLOOKUP(tblOrdenes[[#This Row],[id_operacion]],tblEjecucion[id_operacion],tblEjecucion[costo_plan_total],0)-tblOrdenes[[#This Row],[costo_servicio]]))</f>
        <v/>
      </c>
      <c r="AK612" s="11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3">
        <f>IF(tblOrdenes[[#This Row],[fecha_inicio]]="","",TODAY()-tblOrdenes[[#This Row],[fecha_inicio]])</f>
        <v/>
      </c>
      <c r="AB6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1">
        <f>IF(tblOrdenes[[#This Row],[orden]]="","",_xlfn.XLOOKUP(tblOrdenes[[#This Row],[id_operacion]],tblEjecucion[id_operacion],tblEjecucion[precio],0))</f>
        <v/>
      </c>
      <c r="AJ613" s="11">
        <f>IF(tblOrdenes[[#This Row],[orden]]="","",MAX(0,_xlfn.XLOOKUP(tblOrdenes[[#This Row],[id_operacion]],tblEjecucion[id_operacion],tblEjecucion[costo_plan_total],0)-tblOrdenes[[#This Row],[costo_servicio]]))</f>
        <v/>
      </c>
      <c r="AK613" s="11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3">
        <f>IF(tblOrdenes[[#This Row],[fecha_inicio]]="","",TODAY()-tblOrdenes[[#This Row],[fecha_inicio]])</f>
        <v/>
      </c>
      <c r="AB6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1">
        <f>IF(tblOrdenes[[#This Row],[orden]]="","",_xlfn.XLOOKUP(tblOrdenes[[#This Row],[id_operacion]],tblEjecucion[id_operacion],tblEjecucion[precio],0))</f>
        <v/>
      </c>
      <c r="AJ614" s="11">
        <f>IF(tblOrdenes[[#This Row],[orden]]="","",MAX(0,_xlfn.XLOOKUP(tblOrdenes[[#This Row],[id_operacion]],tblEjecucion[id_operacion],tblEjecucion[costo_plan_total],0)-tblOrdenes[[#This Row],[costo_servicio]]))</f>
        <v/>
      </c>
      <c r="AK614" s="11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3">
        <f>IF(tblOrdenes[[#This Row],[fecha_inicio]]="","",TODAY()-tblOrdenes[[#This Row],[fecha_inicio]])</f>
        <v/>
      </c>
      <c r="AB6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1">
        <f>IF(tblOrdenes[[#This Row],[orden]]="","",_xlfn.XLOOKUP(tblOrdenes[[#This Row],[id_operacion]],tblEjecucion[id_operacion],tblEjecucion[precio],0))</f>
        <v/>
      </c>
      <c r="AJ615" s="11">
        <f>IF(tblOrdenes[[#This Row],[orden]]="","",MAX(0,_xlfn.XLOOKUP(tblOrdenes[[#This Row],[id_operacion]],tblEjecucion[id_operacion],tblEjecucion[costo_plan_total],0)-tblOrdenes[[#This Row],[costo_servicio]]))</f>
        <v/>
      </c>
      <c r="AK615" s="11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3">
        <f>IF(tblOrdenes[[#This Row],[fecha_inicio]]="","",TODAY()-tblOrdenes[[#This Row],[fecha_inicio]])</f>
        <v/>
      </c>
      <c r="AB6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1">
        <f>IF(tblOrdenes[[#This Row],[orden]]="","",_xlfn.XLOOKUP(tblOrdenes[[#This Row],[id_operacion]],tblEjecucion[id_operacion],tblEjecucion[precio],0))</f>
        <v/>
      </c>
      <c r="AJ616" s="11">
        <f>IF(tblOrdenes[[#This Row],[orden]]="","",MAX(0,_xlfn.XLOOKUP(tblOrdenes[[#This Row],[id_operacion]],tblEjecucion[id_operacion],tblEjecucion[costo_plan_total],0)-tblOrdenes[[#This Row],[costo_servicio]]))</f>
        <v/>
      </c>
      <c r="AK616" s="11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3">
        <f>IF(tblOrdenes[[#This Row],[fecha_inicio]]="","",TODAY()-tblOrdenes[[#This Row],[fecha_inicio]])</f>
        <v/>
      </c>
      <c r="AB6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1">
        <f>IF(tblOrdenes[[#This Row],[orden]]="","",_xlfn.XLOOKUP(tblOrdenes[[#This Row],[id_operacion]],tblEjecucion[id_operacion],tblEjecucion[precio],0))</f>
        <v/>
      </c>
      <c r="AJ617" s="11">
        <f>IF(tblOrdenes[[#This Row],[orden]]="","",MAX(0,_xlfn.XLOOKUP(tblOrdenes[[#This Row],[id_operacion]],tblEjecucion[id_operacion],tblEjecucion[costo_plan_total],0)-tblOrdenes[[#This Row],[costo_servicio]]))</f>
        <v/>
      </c>
      <c r="AK617" s="11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3">
        <f>IF(tblOrdenes[[#This Row],[fecha_inicio]]="","",TODAY()-tblOrdenes[[#This Row],[fecha_inicio]])</f>
        <v/>
      </c>
      <c r="AB6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1">
        <f>IF(tblOrdenes[[#This Row],[orden]]="","",_xlfn.XLOOKUP(tblOrdenes[[#This Row],[id_operacion]],tblEjecucion[id_operacion],tblEjecucion[precio],0))</f>
        <v/>
      </c>
      <c r="AJ618" s="11">
        <f>IF(tblOrdenes[[#This Row],[orden]]="","",MAX(0,_xlfn.XLOOKUP(tblOrdenes[[#This Row],[id_operacion]],tblEjecucion[id_operacion],tblEjecucion[costo_plan_total],0)-tblOrdenes[[#This Row],[costo_servicio]]))</f>
        <v/>
      </c>
      <c r="AK618" s="11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3">
        <f>IF(tblOrdenes[[#This Row],[fecha_inicio]]="","",TODAY()-tblOrdenes[[#This Row],[fecha_inicio]])</f>
        <v/>
      </c>
      <c r="AB6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1">
        <f>IF(tblOrdenes[[#This Row],[orden]]="","",_xlfn.XLOOKUP(tblOrdenes[[#This Row],[id_operacion]],tblEjecucion[id_operacion],tblEjecucion[precio],0))</f>
        <v/>
      </c>
      <c r="AJ619" s="11">
        <f>IF(tblOrdenes[[#This Row],[orden]]="","",MAX(0,_xlfn.XLOOKUP(tblOrdenes[[#This Row],[id_operacion]],tblEjecucion[id_operacion],tblEjecucion[costo_plan_total],0)-tblOrdenes[[#This Row],[costo_servicio]]))</f>
        <v/>
      </c>
      <c r="AK619" s="11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3">
        <f>IF(tblOrdenes[[#This Row],[fecha_inicio]]="","",TODAY()-tblOrdenes[[#This Row],[fecha_inicio]])</f>
        <v/>
      </c>
      <c r="AB6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1">
        <f>IF(tblOrdenes[[#This Row],[orden]]="","",_xlfn.XLOOKUP(tblOrdenes[[#This Row],[id_operacion]],tblEjecucion[id_operacion],tblEjecucion[precio],0))</f>
        <v/>
      </c>
      <c r="AJ620" s="11">
        <f>IF(tblOrdenes[[#This Row],[orden]]="","",MAX(0,_xlfn.XLOOKUP(tblOrdenes[[#This Row],[id_operacion]],tblEjecucion[id_operacion],tblEjecucion[costo_plan_total],0)-tblOrdenes[[#This Row],[costo_servicio]]))</f>
        <v/>
      </c>
      <c r="AK620" s="11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3">
        <f>IF(tblOrdenes[[#This Row],[fecha_inicio]]="","",TODAY()-tblOrdenes[[#This Row],[fecha_inicio]])</f>
        <v/>
      </c>
      <c r="AB6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1">
        <f>IF(tblOrdenes[[#This Row],[orden]]="","",_xlfn.XLOOKUP(tblOrdenes[[#This Row],[id_operacion]],tblEjecucion[id_operacion],tblEjecucion[precio],0))</f>
        <v/>
      </c>
      <c r="AJ621" s="11">
        <f>IF(tblOrdenes[[#This Row],[orden]]="","",MAX(0,_xlfn.XLOOKUP(tblOrdenes[[#This Row],[id_operacion]],tblEjecucion[id_operacion],tblEjecucion[costo_plan_total],0)-tblOrdenes[[#This Row],[costo_servicio]]))</f>
        <v/>
      </c>
      <c r="AK621" s="11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3">
        <f>IF(tblOrdenes[[#This Row],[fecha_inicio]]="","",TODAY()-tblOrdenes[[#This Row],[fecha_inicio]])</f>
        <v/>
      </c>
      <c r="AB6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1">
        <f>IF(tblOrdenes[[#This Row],[orden]]="","",_xlfn.XLOOKUP(tblOrdenes[[#This Row],[id_operacion]],tblEjecucion[id_operacion],tblEjecucion[precio],0))</f>
        <v/>
      </c>
      <c r="AJ622" s="11">
        <f>IF(tblOrdenes[[#This Row],[orden]]="","",MAX(0,_xlfn.XLOOKUP(tblOrdenes[[#This Row],[id_operacion]],tblEjecucion[id_operacion],tblEjecucion[costo_plan_total],0)-tblOrdenes[[#This Row],[costo_servicio]]))</f>
        <v/>
      </c>
      <c r="AK622" s="11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3">
        <f>IF(tblOrdenes[[#This Row],[fecha_inicio]]="","",TODAY()-tblOrdenes[[#This Row],[fecha_inicio]])</f>
        <v/>
      </c>
      <c r="AB6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1">
        <f>IF(tblOrdenes[[#This Row],[orden]]="","",_xlfn.XLOOKUP(tblOrdenes[[#This Row],[id_operacion]],tblEjecucion[id_operacion],tblEjecucion[precio],0))</f>
        <v/>
      </c>
      <c r="AJ623" s="11">
        <f>IF(tblOrdenes[[#This Row],[orden]]="","",MAX(0,_xlfn.XLOOKUP(tblOrdenes[[#This Row],[id_operacion]],tblEjecucion[id_operacion],tblEjecucion[costo_plan_total],0)-tblOrdenes[[#This Row],[costo_servicio]]))</f>
        <v/>
      </c>
      <c r="AK623" s="11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3">
        <f>IF(tblOrdenes[[#This Row],[fecha_inicio]]="","",TODAY()-tblOrdenes[[#This Row],[fecha_inicio]])</f>
        <v/>
      </c>
      <c r="AB6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1">
        <f>IF(tblOrdenes[[#This Row],[orden]]="","",_xlfn.XLOOKUP(tblOrdenes[[#This Row],[id_operacion]],tblEjecucion[id_operacion],tblEjecucion[precio],0))</f>
        <v/>
      </c>
      <c r="AJ624" s="11">
        <f>IF(tblOrdenes[[#This Row],[orden]]="","",MAX(0,_xlfn.XLOOKUP(tblOrdenes[[#This Row],[id_operacion]],tblEjecucion[id_operacion],tblEjecucion[costo_plan_total],0)-tblOrdenes[[#This Row],[costo_servicio]]))</f>
        <v/>
      </c>
      <c r="AK624" s="11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3">
        <f>IF(tblOrdenes[[#This Row],[fecha_inicio]]="","",TODAY()-tblOrdenes[[#This Row],[fecha_inicio]])</f>
        <v/>
      </c>
      <c r="AB6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1">
        <f>IF(tblOrdenes[[#This Row],[orden]]="","",_xlfn.XLOOKUP(tblOrdenes[[#This Row],[id_operacion]],tblEjecucion[id_operacion],tblEjecucion[precio],0))</f>
        <v/>
      </c>
      <c r="AJ625" s="11">
        <f>IF(tblOrdenes[[#This Row],[orden]]="","",MAX(0,_xlfn.XLOOKUP(tblOrdenes[[#This Row],[id_operacion]],tblEjecucion[id_operacion],tblEjecucion[costo_plan_total],0)-tblOrdenes[[#This Row],[costo_servicio]]))</f>
        <v/>
      </c>
      <c r="AK625" s="11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3">
        <f>IF(tblOrdenes[[#This Row],[fecha_inicio]]="","",TODAY()-tblOrdenes[[#This Row],[fecha_inicio]])</f>
        <v/>
      </c>
      <c r="AB6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1">
        <f>IF(tblOrdenes[[#This Row],[orden]]="","",_xlfn.XLOOKUP(tblOrdenes[[#This Row],[id_operacion]],tblEjecucion[id_operacion],tblEjecucion[precio],0))</f>
        <v/>
      </c>
      <c r="AJ626" s="11">
        <f>IF(tblOrdenes[[#This Row],[orden]]="","",MAX(0,_xlfn.XLOOKUP(tblOrdenes[[#This Row],[id_operacion]],tblEjecucion[id_operacion],tblEjecucion[costo_plan_total],0)-tblOrdenes[[#This Row],[costo_servicio]]))</f>
        <v/>
      </c>
      <c r="AK626" s="11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3">
        <f>IF(tblOrdenes[[#This Row],[fecha_inicio]]="","",TODAY()-tblOrdenes[[#This Row],[fecha_inicio]])</f>
        <v/>
      </c>
      <c r="AB6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1">
        <f>IF(tblOrdenes[[#This Row],[orden]]="","",_xlfn.XLOOKUP(tblOrdenes[[#This Row],[id_operacion]],tblEjecucion[id_operacion],tblEjecucion[precio],0))</f>
        <v/>
      </c>
      <c r="AJ627" s="11">
        <f>IF(tblOrdenes[[#This Row],[orden]]="","",MAX(0,_xlfn.XLOOKUP(tblOrdenes[[#This Row],[id_operacion]],tblEjecucion[id_operacion],tblEjecucion[costo_plan_total],0)-tblOrdenes[[#This Row],[costo_servicio]]))</f>
        <v/>
      </c>
      <c r="AK627" s="11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3">
        <f>IF(tblOrdenes[[#This Row],[fecha_inicio]]="","",TODAY()-tblOrdenes[[#This Row],[fecha_inicio]])</f>
        <v/>
      </c>
      <c r="AB6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1">
        <f>IF(tblOrdenes[[#This Row],[orden]]="","",_xlfn.XLOOKUP(tblOrdenes[[#This Row],[id_operacion]],tblEjecucion[id_operacion],tblEjecucion[precio],0))</f>
        <v/>
      </c>
      <c r="AJ628" s="11">
        <f>IF(tblOrdenes[[#This Row],[orden]]="","",MAX(0,_xlfn.XLOOKUP(tblOrdenes[[#This Row],[id_operacion]],tblEjecucion[id_operacion],tblEjecucion[costo_plan_total],0)-tblOrdenes[[#This Row],[costo_servicio]]))</f>
        <v/>
      </c>
      <c r="AK628" s="11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3">
        <f>IF(tblOrdenes[[#This Row],[fecha_inicio]]="","",TODAY()-tblOrdenes[[#This Row],[fecha_inicio]])</f>
        <v/>
      </c>
      <c r="AB6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1">
        <f>IF(tblOrdenes[[#This Row],[orden]]="","",_xlfn.XLOOKUP(tblOrdenes[[#This Row],[id_operacion]],tblEjecucion[id_operacion],tblEjecucion[precio],0))</f>
        <v/>
      </c>
      <c r="AJ629" s="11">
        <f>IF(tblOrdenes[[#This Row],[orden]]="","",MAX(0,_xlfn.XLOOKUP(tblOrdenes[[#This Row],[id_operacion]],tblEjecucion[id_operacion],tblEjecucion[costo_plan_total],0)-tblOrdenes[[#This Row],[costo_servicio]]))</f>
        <v/>
      </c>
      <c r="AK629" s="11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3">
        <f>IF(tblOrdenes[[#This Row],[fecha_inicio]]="","",TODAY()-tblOrdenes[[#This Row],[fecha_inicio]])</f>
        <v/>
      </c>
      <c r="AB6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1">
        <f>IF(tblOrdenes[[#This Row],[orden]]="","",_xlfn.XLOOKUP(tblOrdenes[[#This Row],[id_operacion]],tblEjecucion[id_operacion],tblEjecucion[precio],0))</f>
        <v/>
      </c>
      <c r="AJ630" s="11">
        <f>IF(tblOrdenes[[#This Row],[orden]]="","",MAX(0,_xlfn.XLOOKUP(tblOrdenes[[#This Row],[id_operacion]],tblEjecucion[id_operacion],tblEjecucion[costo_plan_total],0)-tblOrdenes[[#This Row],[costo_servicio]]))</f>
        <v/>
      </c>
      <c r="AK630" s="11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3">
        <f>IF(tblOrdenes[[#This Row],[fecha_inicio]]="","",TODAY()-tblOrdenes[[#This Row],[fecha_inicio]])</f>
        <v/>
      </c>
      <c r="AB6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1">
        <f>IF(tblOrdenes[[#This Row],[orden]]="","",_xlfn.XLOOKUP(tblOrdenes[[#This Row],[id_operacion]],tblEjecucion[id_operacion],tblEjecucion[precio],0))</f>
        <v/>
      </c>
      <c r="AJ631" s="11">
        <f>IF(tblOrdenes[[#This Row],[orden]]="","",MAX(0,_xlfn.XLOOKUP(tblOrdenes[[#This Row],[id_operacion]],tblEjecucion[id_operacion],tblEjecucion[costo_plan_total],0)-tblOrdenes[[#This Row],[costo_servicio]]))</f>
        <v/>
      </c>
      <c r="AK631" s="11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3">
        <f>IF(tblOrdenes[[#This Row],[fecha_inicio]]="","",TODAY()-tblOrdenes[[#This Row],[fecha_inicio]])</f>
        <v/>
      </c>
      <c r="AB6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1">
        <f>IF(tblOrdenes[[#This Row],[orden]]="","",_xlfn.XLOOKUP(tblOrdenes[[#This Row],[id_operacion]],tblEjecucion[id_operacion],tblEjecucion[precio],0))</f>
        <v/>
      </c>
      <c r="AJ632" s="11">
        <f>IF(tblOrdenes[[#This Row],[orden]]="","",MAX(0,_xlfn.XLOOKUP(tblOrdenes[[#This Row],[id_operacion]],tblEjecucion[id_operacion],tblEjecucion[costo_plan_total],0)-tblOrdenes[[#This Row],[costo_servicio]]))</f>
        <v/>
      </c>
      <c r="AK632" s="11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3">
        <f>IF(tblOrdenes[[#This Row],[fecha_inicio]]="","",TODAY()-tblOrdenes[[#This Row],[fecha_inicio]])</f>
        <v/>
      </c>
      <c r="AB6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1">
        <f>IF(tblOrdenes[[#This Row],[orden]]="","",_xlfn.XLOOKUP(tblOrdenes[[#This Row],[id_operacion]],tblEjecucion[id_operacion],tblEjecucion[precio],0))</f>
        <v/>
      </c>
      <c r="AJ633" s="11">
        <f>IF(tblOrdenes[[#This Row],[orden]]="","",MAX(0,_xlfn.XLOOKUP(tblOrdenes[[#This Row],[id_operacion]],tblEjecucion[id_operacion],tblEjecucion[costo_plan_total],0)-tblOrdenes[[#This Row],[costo_servicio]]))</f>
        <v/>
      </c>
      <c r="AK633" s="11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3">
        <f>IF(tblOrdenes[[#This Row],[fecha_inicio]]="","",TODAY()-tblOrdenes[[#This Row],[fecha_inicio]])</f>
        <v/>
      </c>
      <c r="AB6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1">
        <f>IF(tblOrdenes[[#This Row],[orden]]="","",_xlfn.XLOOKUP(tblOrdenes[[#This Row],[id_operacion]],tblEjecucion[id_operacion],tblEjecucion[precio],0))</f>
        <v/>
      </c>
      <c r="AJ634" s="11">
        <f>IF(tblOrdenes[[#This Row],[orden]]="","",MAX(0,_xlfn.XLOOKUP(tblOrdenes[[#This Row],[id_operacion]],tblEjecucion[id_operacion],tblEjecucion[costo_plan_total],0)-tblOrdenes[[#This Row],[costo_servicio]]))</f>
        <v/>
      </c>
      <c r="AK634" s="11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3">
        <f>IF(tblOrdenes[[#This Row],[fecha_inicio]]="","",TODAY()-tblOrdenes[[#This Row],[fecha_inicio]])</f>
        <v/>
      </c>
      <c r="AB6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1">
        <f>IF(tblOrdenes[[#This Row],[orden]]="","",_xlfn.XLOOKUP(tblOrdenes[[#This Row],[id_operacion]],tblEjecucion[id_operacion],tblEjecucion[precio],0))</f>
        <v/>
      </c>
      <c r="AJ635" s="11">
        <f>IF(tblOrdenes[[#This Row],[orden]]="","",MAX(0,_xlfn.XLOOKUP(tblOrdenes[[#This Row],[id_operacion]],tblEjecucion[id_operacion],tblEjecucion[costo_plan_total],0)-tblOrdenes[[#This Row],[costo_servicio]]))</f>
        <v/>
      </c>
      <c r="AK635" s="11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3">
        <f>IF(tblOrdenes[[#This Row],[fecha_inicio]]="","",TODAY()-tblOrdenes[[#This Row],[fecha_inicio]])</f>
        <v/>
      </c>
      <c r="AB6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1">
        <f>IF(tblOrdenes[[#This Row],[orden]]="","",_xlfn.XLOOKUP(tblOrdenes[[#This Row],[id_operacion]],tblEjecucion[id_operacion],tblEjecucion[precio],0))</f>
        <v/>
      </c>
      <c r="AJ636" s="11">
        <f>IF(tblOrdenes[[#This Row],[orden]]="","",MAX(0,_xlfn.XLOOKUP(tblOrdenes[[#This Row],[id_operacion]],tblEjecucion[id_operacion],tblEjecucion[costo_plan_total],0)-tblOrdenes[[#This Row],[costo_servicio]]))</f>
        <v/>
      </c>
      <c r="AK636" s="11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3">
        <f>IF(tblOrdenes[[#This Row],[fecha_inicio]]="","",TODAY()-tblOrdenes[[#This Row],[fecha_inicio]])</f>
        <v/>
      </c>
      <c r="AB6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1">
        <f>IF(tblOrdenes[[#This Row],[orden]]="","",_xlfn.XLOOKUP(tblOrdenes[[#This Row],[id_operacion]],tblEjecucion[id_operacion],tblEjecucion[precio],0))</f>
        <v/>
      </c>
      <c r="AJ637" s="11">
        <f>IF(tblOrdenes[[#This Row],[orden]]="","",MAX(0,_xlfn.XLOOKUP(tblOrdenes[[#This Row],[id_operacion]],tblEjecucion[id_operacion],tblEjecucion[costo_plan_total],0)-tblOrdenes[[#This Row],[costo_servicio]]))</f>
        <v/>
      </c>
      <c r="AK637" s="11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3">
        <f>IF(tblOrdenes[[#This Row],[fecha_inicio]]="","",TODAY()-tblOrdenes[[#This Row],[fecha_inicio]])</f>
        <v/>
      </c>
      <c r="AB6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1">
        <f>IF(tblOrdenes[[#This Row],[orden]]="","",_xlfn.XLOOKUP(tblOrdenes[[#This Row],[id_operacion]],tblEjecucion[id_operacion],tblEjecucion[precio],0))</f>
        <v/>
      </c>
      <c r="AJ638" s="11">
        <f>IF(tblOrdenes[[#This Row],[orden]]="","",MAX(0,_xlfn.XLOOKUP(tblOrdenes[[#This Row],[id_operacion]],tblEjecucion[id_operacion],tblEjecucion[costo_plan_total],0)-tblOrdenes[[#This Row],[costo_servicio]]))</f>
        <v/>
      </c>
      <c r="AK638" s="11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3">
        <f>IF(tblOrdenes[[#This Row],[fecha_inicio]]="","",TODAY()-tblOrdenes[[#This Row],[fecha_inicio]])</f>
        <v/>
      </c>
      <c r="AB6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1">
        <f>IF(tblOrdenes[[#This Row],[orden]]="","",_xlfn.XLOOKUP(tblOrdenes[[#This Row],[id_operacion]],tblEjecucion[id_operacion],tblEjecucion[precio],0))</f>
        <v/>
      </c>
      <c r="AJ639" s="11">
        <f>IF(tblOrdenes[[#This Row],[orden]]="","",MAX(0,_xlfn.XLOOKUP(tblOrdenes[[#This Row],[id_operacion]],tblEjecucion[id_operacion],tblEjecucion[costo_plan_total],0)-tblOrdenes[[#This Row],[costo_servicio]]))</f>
        <v/>
      </c>
      <c r="AK639" s="11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3">
        <f>IF(tblOrdenes[[#This Row],[fecha_inicio]]="","",TODAY()-tblOrdenes[[#This Row],[fecha_inicio]])</f>
        <v/>
      </c>
      <c r="AB6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1">
        <f>IF(tblOrdenes[[#This Row],[orden]]="","",_xlfn.XLOOKUP(tblOrdenes[[#This Row],[id_operacion]],tblEjecucion[id_operacion],tblEjecucion[precio],0))</f>
        <v/>
      </c>
      <c r="AJ640" s="11">
        <f>IF(tblOrdenes[[#This Row],[orden]]="","",MAX(0,_xlfn.XLOOKUP(tblOrdenes[[#This Row],[id_operacion]],tblEjecucion[id_operacion],tblEjecucion[costo_plan_total],0)-tblOrdenes[[#This Row],[costo_servicio]]))</f>
        <v/>
      </c>
      <c r="AK640" s="11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3">
        <f>IF(tblOrdenes[[#This Row],[fecha_inicio]]="","",TODAY()-tblOrdenes[[#This Row],[fecha_inicio]])</f>
        <v/>
      </c>
      <c r="AB6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1">
        <f>IF(tblOrdenes[[#This Row],[orden]]="","",_xlfn.XLOOKUP(tblOrdenes[[#This Row],[id_operacion]],tblEjecucion[id_operacion],tblEjecucion[precio],0))</f>
        <v/>
      </c>
      <c r="AJ641" s="11">
        <f>IF(tblOrdenes[[#This Row],[orden]]="","",MAX(0,_xlfn.XLOOKUP(tblOrdenes[[#This Row],[id_operacion]],tblEjecucion[id_operacion],tblEjecucion[costo_plan_total],0)-tblOrdenes[[#This Row],[costo_servicio]]))</f>
        <v/>
      </c>
      <c r="AK641" s="11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3">
        <f>IF(tblOrdenes[[#This Row],[fecha_inicio]]="","",TODAY()-tblOrdenes[[#This Row],[fecha_inicio]])</f>
        <v/>
      </c>
      <c r="AB6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1">
        <f>IF(tblOrdenes[[#This Row],[orden]]="","",_xlfn.XLOOKUP(tblOrdenes[[#This Row],[id_operacion]],tblEjecucion[id_operacion],tblEjecucion[precio],0))</f>
        <v/>
      </c>
      <c r="AJ642" s="11">
        <f>IF(tblOrdenes[[#This Row],[orden]]="","",MAX(0,_xlfn.XLOOKUP(tblOrdenes[[#This Row],[id_operacion]],tblEjecucion[id_operacion],tblEjecucion[costo_plan_total],0)-tblOrdenes[[#This Row],[costo_servicio]]))</f>
        <v/>
      </c>
      <c r="AK642" s="11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3">
        <f>IF(tblOrdenes[[#This Row],[fecha_inicio]]="","",TODAY()-tblOrdenes[[#This Row],[fecha_inicio]])</f>
        <v/>
      </c>
      <c r="AB6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1">
        <f>IF(tblOrdenes[[#This Row],[orden]]="","",_xlfn.XLOOKUP(tblOrdenes[[#This Row],[id_operacion]],tblEjecucion[id_operacion],tblEjecucion[precio],0))</f>
        <v/>
      </c>
      <c r="AJ643" s="11">
        <f>IF(tblOrdenes[[#This Row],[orden]]="","",MAX(0,_xlfn.XLOOKUP(tblOrdenes[[#This Row],[id_operacion]],tblEjecucion[id_operacion],tblEjecucion[costo_plan_total],0)-tblOrdenes[[#This Row],[costo_servicio]]))</f>
        <v/>
      </c>
      <c r="AK643" s="11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3">
        <f>IF(tblOrdenes[[#This Row],[fecha_inicio]]="","",TODAY()-tblOrdenes[[#This Row],[fecha_inicio]])</f>
        <v/>
      </c>
      <c r="AB6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1">
        <f>IF(tblOrdenes[[#This Row],[orden]]="","",_xlfn.XLOOKUP(tblOrdenes[[#This Row],[id_operacion]],tblEjecucion[id_operacion],tblEjecucion[precio],0))</f>
        <v/>
      </c>
      <c r="AJ644" s="11">
        <f>IF(tblOrdenes[[#This Row],[orden]]="","",MAX(0,_xlfn.XLOOKUP(tblOrdenes[[#This Row],[id_operacion]],tblEjecucion[id_operacion],tblEjecucion[costo_plan_total],0)-tblOrdenes[[#This Row],[costo_servicio]]))</f>
        <v/>
      </c>
      <c r="AK644" s="11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3">
        <f>IF(tblOrdenes[[#This Row],[fecha_inicio]]="","",TODAY()-tblOrdenes[[#This Row],[fecha_inicio]])</f>
        <v/>
      </c>
      <c r="AB6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1">
        <f>IF(tblOrdenes[[#This Row],[orden]]="","",_xlfn.XLOOKUP(tblOrdenes[[#This Row],[id_operacion]],tblEjecucion[id_operacion],tblEjecucion[precio],0))</f>
        <v/>
      </c>
      <c r="AJ645" s="11">
        <f>IF(tblOrdenes[[#This Row],[orden]]="","",MAX(0,_xlfn.XLOOKUP(tblOrdenes[[#This Row],[id_operacion]],tblEjecucion[id_operacion],tblEjecucion[costo_plan_total],0)-tblOrdenes[[#This Row],[costo_servicio]]))</f>
        <v/>
      </c>
      <c r="AK645" s="11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3">
        <f>IF(tblOrdenes[[#This Row],[fecha_inicio]]="","",TODAY()-tblOrdenes[[#This Row],[fecha_inicio]])</f>
        <v/>
      </c>
      <c r="AB6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1">
        <f>IF(tblOrdenes[[#This Row],[orden]]="","",_xlfn.XLOOKUP(tblOrdenes[[#This Row],[id_operacion]],tblEjecucion[id_operacion],tblEjecucion[precio],0))</f>
        <v/>
      </c>
      <c r="AJ646" s="11">
        <f>IF(tblOrdenes[[#This Row],[orden]]="","",MAX(0,_xlfn.XLOOKUP(tblOrdenes[[#This Row],[id_operacion]],tblEjecucion[id_operacion],tblEjecucion[costo_plan_total],0)-tblOrdenes[[#This Row],[costo_servicio]]))</f>
        <v/>
      </c>
      <c r="AK646" s="11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3">
        <f>IF(tblOrdenes[[#This Row],[fecha_inicio]]="","",TODAY()-tblOrdenes[[#This Row],[fecha_inicio]])</f>
        <v/>
      </c>
      <c r="AB6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1">
        <f>IF(tblOrdenes[[#This Row],[orden]]="","",_xlfn.XLOOKUP(tblOrdenes[[#This Row],[id_operacion]],tblEjecucion[id_operacion],tblEjecucion[precio],0))</f>
        <v/>
      </c>
      <c r="AJ647" s="11">
        <f>IF(tblOrdenes[[#This Row],[orden]]="","",MAX(0,_xlfn.XLOOKUP(tblOrdenes[[#This Row],[id_operacion]],tblEjecucion[id_operacion],tblEjecucion[costo_plan_total],0)-tblOrdenes[[#This Row],[costo_servicio]]))</f>
        <v/>
      </c>
      <c r="AK647" s="11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3">
        <f>IF(tblOrdenes[[#This Row],[fecha_inicio]]="","",TODAY()-tblOrdenes[[#This Row],[fecha_inicio]])</f>
        <v/>
      </c>
      <c r="AB6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1">
        <f>IF(tblOrdenes[[#This Row],[orden]]="","",_xlfn.XLOOKUP(tblOrdenes[[#This Row],[id_operacion]],tblEjecucion[id_operacion],tblEjecucion[precio],0))</f>
        <v/>
      </c>
      <c r="AJ648" s="11">
        <f>IF(tblOrdenes[[#This Row],[orden]]="","",MAX(0,_xlfn.XLOOKUP(tblOrdenes[[#This Row],[id_operacion]],tblEjecucion[id_operacion],tblEjecucion[costo_plan_total],0)-tblOrdenes[[#This Row],[costo_servicio]]))</f>
        <v/>
      </c>
      <c r="AK648" s="11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3">
        <f>IF(tblOrdenes[[#This Row],[fecha_inicio]]="","",TODAY()-tblOrdenes[[#This Row],[fecha_inicio]])</f>
        <v/>
      </c>
      <c r="AB6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1">
        <f>IF(tblOrdenes[[#This Row],[orden]]="","",_xlfn.XLOOKUP(tblOrdenes[[#This Row],[id_operacion]],tblEjecucion[id_operacion],tblEjecucion[precio],0))</f>
        <v/>
      </c>
      <c r="AJ649" s="11">
        <f>IF(tblOrdenes[[#This Row],[orden]]="","",MAX(0,_xlfn.XLOOKUP(tblOrdenes[[#This Row],[id_operacion]],tblEjecucion[id_operacion],tblEjecucion[costo_plan_total],0)-tblOrdenes[[#This Row],[costo_servicio]]))</f>
        <v/>
      </c>
      <c r="AK649" s="11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3">
        <f>IF(tblOrdenes[[#This Row],[fecha_inicio]]="","",TODAY()-tblOrdenes[[#This Row],[fecha_inicio]])</f>
        <v/>
      </c>
      <c r="AB6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1">
        <f>IF(tblOrdenes[[#This Row],[orden]]="","",_xlfn.XLOOKUP(tblOrdenes[[#This Row],[id_operacion]],tblEjecucion[id_operacion],tblEjecucion[precio],0))</f>
        <v/>
      </c>
      <c r="AJ650" s="11">
        <f>IF(tblOrdenes[[#This Row],[orden]]="","",MAX(0,_xlfn.XLOOKUP(tblOrdenes[[#This Row],[id_operacion]],tblEjecucion[id_operacion],tblEjecucion[costo_plan_total],0)-tblOrdenes[[#This Row],[costo_servicio]]))</f>
        <v/>
      </c>
      <c r="AK650" s="11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3">
        <f>IF(tblOrdenes[[#This Row],[fecha_inicio]]="","",TODAY()-tblOrdenes[[#This Row],[fecha_inicio]])</f>
        <v/>
      </c>
      <c r="AB6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1">
        <f>IF(tblOrdenes[[#This Row],[orden]]="","",_xlfn.XLOOKUP(tblOrdenes[[#This Row],[id_operacion]],tblEjecucion[id_operacion],tblEjecucion[precio],0))</f>
        <v/>
      </c>
      <c r="AJ651" s="11">
        <f>IF(tblOrdenes[[#This Row],[orden]]="","",MAX(0,_xlfn.XLOOKUP(tblOrdenes[[#This Row],[id_operacion]],tblEjecucion[id_operacion],tblEjecucion[costo_plan_total],0)-tblOrdenes[[#This Row],[costo_servicio]]))</f>
        <v/>
      </c>
      <c r="AK651" s="11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3">
        <f>IF(tblOrdenes[[#This Row],[fecha_inicio]]="","",TODAY()-tblOrdenes[[#This Row],[fecha_inicio]])</f>
        <v/>
      </c>
      <c r="AB6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1">
        <f>IF(tblOrdenes[[#This Row],[orden]]="","",_xlfn.XLOOKUP(tblOrdenes[[#This Row],[id_operacion]],tblEjecucion[id_operacion],tblEjecucion[precio],0))</f>
        <v/>
      </c>
      <c r="AJ652" s="11">
        <f>IF(tblOrdenes[[#This Row],[orden]]="","",MAX(0,_xlfn.XLOOKUP(tblOrdenes[[#This Row],[id_operacion]],tblEjecucion[id_operacion],tblEjecucion[costo_plan_total],0)-tblOrdenes[[#This Row],[costo_servicio]]))</f>
        <v/>
      </c>
      <c r="AK652" s="11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3">
        <f>IF(tblOrdenes[[#This Row],[fecha_inicio]]="","",TODAY()-tblOrdenes[[#This Row],[fecha_inicio]])</f>
        <v/>
      </c>
      <c r="AB6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1">
        <f>IF(tblOrdenes[[#This Row],[orden]]="","",_xlfn.XLOOKUP(tblOrdenes[[#This Row],[id_operacion]],tblEjecucion[id_operacion],tblEjecucion[precio],0))</f>
        <v/>
      </c>
      <c r="AJ653" s="11">
        <f>IF(tblOrdenes[[#This Row],[orden]]="","",MAX(0,_xlfn.XLOOKUP(tblOrdenes[[#This Row],[id_operacion]],tblEjecucion[id_operacion],tblEjecucion[costo_plan_total],0)-tblOrdenes[[#This Row],[costo_servicio]]))</f>
        <v/>
      </c>
      <c r="AK653" s="11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3">
        <f>IF(tblOrdenes[[#This Row],[fecha_inicio]]="","",TODAY()-tblOrdenes[[#This Row],[fecha_inicio]])</f>
        <v/>
      </c>
      <c r="AB6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1">
        <f>IF(tblOrdenes[[#This Row],[orden]]="","",_xlfn.XLOOKUP(tblOrdenes[[#This Row],[id_operacion]],tblEjecucion[id_operacion],tblEjecucion[precio],0))</f>
        <v/>
      </c>
      <c r="AJ654" s="11">
        <f>IF(tblOrdenes[[#This Row],[orden]]="","",MAX(0,_xlfn.XLOOKUP(tblOrdenes[[#This Row],[id_operacion]],tblEjecucion[id_operacion],tblEjecucion[costo_plan_total],0)-tblOrdenes[[#This Row],[costo_servicio]]))</f>
        <v/>
      </c>
      <c r="AK654" s="11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3">
        <f>IF(tblOrdenes[[#This Row],[fecha_inicio]]="","",TODAY()-tblOrdenes[[#This Row],[fecha_inicio]])</f>
        <v/>
      </c>
      <c r="AB6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1">
        <f>IF(tblOrdenes[[#This Row],[orden]]="","",_xlfn.XLOOKUP(tblOrdenes[[#This Row],[id_operacion]],tblEjecucion[id_operacion],tblEjecucion[precio],0))</f>
        <v/>
      </c>
      <c r="AJ655" s="11">
        <f>IF(tblOrdenes[[#This Row],[orden]]="","",MAX(0,_xlfn.XLOOKUP(tblOrdenes[[#This Row],[id_operacion]],tblEjecucion[id_operacion],tblEjecucion[costo_plan_total],0)-tblOrdenes[[#This Row],[costo_servicio]]))</f>
        <v/>
      </c>
      <c r="AK655" s="11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3">
        <f>IF(tblOrdenes[[#This Row],[fecha_inicio]]="","",TODAY()-tblOrdenes[[#This Row],[fecha_inicio]])</f>
        <v/>
      </c>
      <c r="AB6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1">
        <f>IF(tblOrdenes[[#This Row],[orden]]="","",_xlfn.XLOOKUP(tblOrdenes[[#This Row],[id_operacion]],tblEjecucion[id_operacion],tblEjecucion[precio],0))</f>
        <v/>
      </c>
      <c r="AJ656" s="11">
        <f>IF(tblOrdenes[[#This Row],[orden]]="","",MAX(0,_xlfn.XLOOKUP(tblOrdenes[[#This Row],[id_operacion]],tblEjecucion[id_operacion],tblEjecucion[costo_plan_total],0)-tblOrdenes[[#This Row],[costo_servicio]]))</f>
        <v/>
      </c>
      <c r="AK656" s="11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3">
        <f>IF(tblOrdenes[[#This Row],[fecha_inicio]]="","",TODAY()-tblOrdenes[[#This Row],[fecha_inicio]])</f>
        <v/>
      </c>
      <c r="AB6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1">
        <f>IF(tblOrdenes[[#This Row],[orden]]="","",_xlfn.XLOOKUP(tblOrdenes[[#This Row],[id_operacion]],tblEjecucion[id_operacion],tblEjecucion[precio],0))</f>
        <v/>
      </c>
      <c r="AJ657" s="11">
        <f>IF(tblOrdenes[[#This Row],[orden]]="","",MAX(0,_xlfn.XLOOKUP(tblOrdenes[[#This Row],[id_operacion]],tblEjecucion[id_operacion],tblEjecucion[costo_plan_total],0)-tblOrdenes[[#This Row],[costo_servicio]]))</f>
        <v/>
      </c>
      <c r="AK657" s="11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3">
        <f>IF(tblOrdenes[[#This Row],[fecha_inicio]]="","",TODAY()-tblOrdenes[[#This Row],[fecha_inicio]])</f>
        <v/>
      </c>
      <c r="AB6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1">
        <f>IF(tblOrdenes[[#This Row],[orden]]="","",_xlfn.XLOOKUP(tblOrdenes[[#This Row],[id_operacion]],tblEjecucion[id_operacion],tblEjecucion[precio],0))</f>
        <v/>
      </c>
      <c r="AJ658" s="11">
        <f>IF(tblOrdenes[[#This Row],[orden]]="","",MAX(0,_xlfn.XLOOKUP(tblOrdenes[[#This Row],[id_operacion]],tblEjecucion[id_operacion],tblEjecucion[costo_plan_total],0)-tblOrdenes[[#This Row],[costo_servicio]]))</f>
        <v/>
      </c>
      <c r="AK658" s="11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3">
        <f>IF(tblOrdenes[[#This Row],[fecha_inicio]]="","",TODAY()-tblOrdenes[[#This Row],[fecha_inicio]])</f>
        <v/>
      </c>
      <c r="AB6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1">
        <f>IF(tblOrdenes[[#This Row],[orden]]="","",_xlfn.XLOOKUP(tblOrdenes[[#This Row],[id_operacion]],tblEjecucion[id_operacion],tblEjecucion[precio],0))</f>
        <v/>
      </c>
      <c r="AJ659" s="11">
        <f>IF(tblOrdenes[[#This Row],[orden]]="","",MAX(0,_xlfn.XLOOKUP(tblOrdenes[[#This Row],[id_operacion]],tblEjecucion[id_operacion],tblEjecucion[costo_plan_total],0)-tblOrdenes[[#This Row],[costo_servicio]]))</f>
        <v/>
      </c>
      <c r="AK659" s="11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3">
        <f>IF(tblOrdenes[[#This Row],[fecha_inicio]]="","",TODAY()-tblOrdenes[[#This Row],[fecha_inicio]])</f>
        <v/>
      </c>
      <c r="AB6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1">
        <f>IF(tblOrdenes[[#This Row],[orden]]="","",_xlfn.XLOOKUP(tblOrdenes[[#This Row],[id_operacion]],tblEjecucion[id_operacion],tblEjecucion[precio],0))</f>
        <v/>
      </c>
      <c r="AJ660" s="11">
        <f>IF(tblOrdenes[[#This Row],[orden]]="","",MAX(0,_xlfn.XLOOKUP(tblOrdenes[[#This Row],[id_operacion]],tblEjecucion[id_operacion],tblEjecucion[costo_plan_total],0)-tblOrdenes[[#This Row],[costo_servicio]]))</f>
        <v/>
      </c>
      <c r="AK660" s="11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3">
        <f>IF(tblOrdenes[[#This Row],[fecha_inicio]]="","",TODAY()-tblOrdenes[[#This Row],[fecha_inicio]])</f>
        <v/>
      </c>
      <c r="AB6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1">
        <f>IF(tblOrdenes[[#This Row],[orden]]="","",_xlfn.XLOOKUP(tblOrdenes[[#This Row],[id_operacion]],tblEjecucion[id_operacion],tblEjecucion[precio],0))</f>
        <v/>
      </c>
      <c r="AJ661" s="11">
        <f>IF(tblOrdenes[[#This Row],[orden]]="","",MAX(0,_xlfn.XLOOKUP(tblOrdenes[[#This Row],[id_operacion]],tblEjecucion[id_operacion],tblEjecucion[costo_plan_total],0)-tblOrdenes[[#This Row],[costo_servicio]]))</f>
        <v/>
      </c>
      <c r="AK661" s="11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3">
        <f>IF(tblOrdenes[[#This Row],[fecha_inicio]]="","",TODAY()-tblOrdenes[[#This Row],[fecha_inicio]])</f>
        <v/>
      </c>
      <c r="AB6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1">
        <f>IF(tblOrdenes[[#This Row],[orden]]="","",_xlfn.XLOOKUP(tblOrdenes[[#This Row],[id_operacion]],tblEjecucion[id_operacion],tblEjecucion[precio],0))</f>
        <v/>
      </c>
      <c r="AJ662" s="11">
        <f>IF(tblOrdenes[[#This Row],[orden]]="","",MAX(0,_xlfn.XLOOKUP(tblOrdenes[[#This Row],[id_operacion]],tblEjecucion[id_operacion],tblEjecucion[costo_plan_total],0)-tblOrdenes[[#This Row],[costo_servicio]]))</f>
        <v/>
      </c>
      <c r="AK662" s="11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3">
        <f>IF(tblOrdenes[[#This Row],[fecha_inicio]]="","",TODAY()-tblOrdenes[[#This Row],[fecha_inicio]])</f>
        <v/>
      </c>
      <c r="AB6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1">
        <f>IF(tblOrdenes[[#This Row],[orden]]="","",_xlfn.XLOOKUP(tblOrdenes[[#This Row],[id_operacion]],tblEjecucion[id_operacion],tblEjecucion[precio],0))</f>
        <v/>
      </c>
      <c r="AJ663" s="11">
        <f>IF(tblOrdenes[[#This Row],[orden]]="","",MAX(0,_xlfn.XLOOKUP(tblOrdenes[[#This Row],[id_operacion]],tblEjecucion[id_operacion],tblEjecucion[costo_plan_total],0)-tblOrdenes[[#This Row],[costo_servicio]]))</f>
        <v/>
      </c>
      <c r="AK663" s="11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3">
        <f>IF(tblOrdenes[[#This Row],[fecha_inicio]]="","",TODAY()-tblOrdenes[[#This Row],[fecha_inicio]])</f>
        <v/>
      </c>
      <c r="AB6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1">
        <f>IF(tblOrdenes[[#This Row],[orden]]="","",_xlfn.XLOOKUP(tblOrdenes[[#This Row],[id_operacion]],tblEjecucion[id_operacion],tblEjecucion[precio],0))</f>
        <v/>
      </c>
      <c r="AJ664" s="11">
        <f>IF(tblOrdenes[[#This Row],[orden]]="","",MAX(0,_xlfn.XLOOKUP(tblOrdenes[[#This Row],[id_operacion]],tblEjecucion[id_operacion],tblEjecucion[costo_plan_total],0)-tblOrdenes[[#This Row],[costo_servicio]]))</f>
        <v/>
      </c>
      <c r="AK664" s="11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3">
        <f>IF(tblOrdenes[[#This Row],[fecha_inicio]]="","",TODAY()-tblOrdenes[[#This Row],[fecha_inicio]])</f>
        <v/>
      </c>
      <c r="AB6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1">
        <f>IF(tblOrdenes[[#This Row],[orden]]="","",_xlfn.XLOOKUP(tblOrdenes[[#This Row],[id_operacion]],tblEjecucion[id_operacion],tblEjecucion[precio],0))</f>
        <v/>
      </c>
      <c r="AJ665" s="11">
        <f>IF(tblOrdenes[[#This Row],[orden]]="","",MAX(0,_xlfn.XLOOKUP(tblOrdenes[[#This Row],[id_operacion]],tblEjecucion[id_operacion],tblEjecucion[costo_plan_total],0)-tblOrdenes[[#This Row],[costo_servicio]]))</f>
        <v/>
      </c>
      <c r="AK665" s="11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3">
        <f>IF(tblOrdenes[[#This Row],[fecha_inicio]]="","",TODAY()-tblOrdenes[[#This Row],[fecha_inicio]])</f>
        <v/>
      </c>
      <c r="AB6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1">
        <f>IF(tblOrdenes[[#This Row],[orden]]="","",_xlfn.XLOOKUP(tblOrdenes[[#This Row],[id_operacion]],tblEjecucion[id_operacion],tblEjecucion[precio],0))</f>
        <v/>
      </c>
      <c r="AJ666" s="11">
        <f>IF(tblOrdenes[[#This Row],[orden]]="","",MAX(0,_xlfn.XLOOKUP(tblOrdenes[[#This Row],[id_operacion]],tblEjecucion[id_operacion],tblEjecucion[costo_plan_total],0)-tblOrdenes[[#This Row],[costo_servicio]]))</f>
        <v/>
      </c>
      <c r="AK666" s="11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3">
        <f>IF(tblOrdenes[[#This Row],[fecha_inicio]]="","",TODAY()-tblOrdenes[[#This Row],[fecha_inicio]])</f>
        <v/>
      </c>
      <c r="AB6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1">
        <f>IF(tblOrdenes[[#This Row],[orden]]="","",_xlfn.XLOOKUP(tblOrdenes[[#This Row],[id_operacion]],tblEjecucion[id_operacion],tblEjecucion[precio],0))</f>
        <v/>
      </c>
      <c r="AJ667" s="11">
        <f>IF(tblOrdenes[[#This Row],[orden]]="","",MAX(0,_xlfn.XLOOKUP(tblOrdenes[[#This Row],[id_operacion]],tblEjecucion[id_operacion],tblEjecucion[costo_plan_total],0)-tblOrdenes[[#This Row],[costo_servicio]]))</f>
        <v/>
      </c>
      <c r="AK667" s="11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3">
        <f>IF(tblOrdenes[[#This Row],[fecha_inicio]]="","",TODAY()-tblOrdenes[[#This Row],[fecha_inicio]])</f>
        <v/>
      </c>
      <c r="AB6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1">
        <f>IF(tblOrdenes[[#This Row],[orden]]="","",_xlfn.XLOOKUP(tblOrdenes[[#This Row],[id_operacion]],tblEjecucion[id_operacion],tblEjecucion[precio],0))</f>
        <v/>
      </c>
      <c r="AJ668" s="11">
        <f>IF(tblOrdenes[[#This Row],[orden]]="","",MAX(0,_xlfn.XLOOKUP(tblOrdenes[[#This Row],[id_operacion]],tblEjecucion[id_operacion],tblEjecucion[costo_plan_total],0)-tblOrdenes[[#This Row],[costo_servicio]]))</f>
        <v/>
      </c>
      <c r="AK668" s="11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3">
        <f>IF(tblOrdenes[[#This Row],[fecha_inicio]]="","",TODAY()-tblOrdenes[[#This Row],[fecha_inicio]])</f>
        <v/>
      </c>
      <c r="AB6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1">
        <f>IF(tblOrdenes[[#This Row],[orden]]="","",_xlfn.XLOOKUP(tblOrdenes[[#This Row],[id_operacion]],tblEjecucion[id_operacion],tblEjecucion[precio],0))</f>
        <v/>
      </c>
      <c r="AJ669" s="11">
        <f>IF(tblOrdenes[[#This Row],[orden]]="","",MAX(0,_xlfn.XLOOKUP(tblOrdenes[[#This Row],[id_operacion]],tblEjecucion[id_operacion],tblEjecucion[costo_plan_total],0)-tblOrdenes[[#This Row],[costo_servicio]]))</f>
        <v/>
      </c>
      <c r="AK669" s="11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3">
        <f>IF(tblOrdenes[[#This Row],[fecha_inicio]]="","",TODAY()-tblOrdenes[[#This Row],[fecha_inicio]])</f>
        <v/>
      </c>
      <c r="AB6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1">
        <f>IF(tblOrdenes[[#This Row],[orden]]="","",_xlfn.XLOOKUP(tblOrdenes[[#This Row],[id_operacion]],tblEjecucion[id_operacion],tblEjecucion[precio],0))</f>
        <v/>
      </c>
      <c r="AJ670" s="11">
        <f>IF(tblOrdenes[[#This Row],[orden]]="","",MAX(0,_xlfn.XLOOKUP(tblOrdenes[[#This Row],[id_operacion]],tblEjecucion[id_operacion],tblEjecucion[costo_plan_total],0)-tblOrdenes[[#This Row],[costo_servicio]]))</f>
        <v/>
      </c>
      <c r="AK670" s="11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3">
        <f>IF(tblOrdenes[[#This Row],[fecha_inicio]]="","",TODAY()-tblOrdenes[[#This Row],[fecha_inicio]])</f>
        <v/>
      </c>
      <c r="AB6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1">
        <f>IF(tblOrdenes[[#This Row],[orden]]="","",_xlfn.XLOOKUP(tblOrdenes[[#This Row],[id_operacion]],tblEjecucion[id_operacion],tblEjecucion[precio],0))</f>
        <v/>
      </c>
      <c r="AJ671" s="11">
        <f>IF(tblOrdenes[[#This Row],[orden]]="","",MAX(0,_xlfn.XLOOKUP(tblOrdenes[[#This Row],[id_operacion]],tblEjecucion[id_operacion],tblEjecucion[costo_plan_total],0)-tblOrdenes[[#This Row],[costo_servicio]]))</f>
        <v/>
      </c>
      <c r="AK671" s="11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3">
        <f>IF(tblOrdenes[[#This Row],[fecha_inicio]]="","",TODAY()-tblOrdenes[[#This Row],[fecha_inicio]])</f>
        <v/>
      </c>
      <c r="AB6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1">
        <f>IF(tblOrdenes[[#This Row],[orden]]="","",_xlfn.XLOOKUP(tblOrdenes[[#This Row],[id_operacion]],tblEjecucion[id_operacion],tblEjecucion[precio],0))</f>
        <v/>
      </c>
      <c r="AJ672" s="11">
        <f>IF(tblOrdenes[[#This Row],[orden]]="","",MAX(0,_xlfn.XLOOKUP(tblOrdenes[[#This Row],[id_operacion]],tblEjecucion[id_operacion],tblEjecucion[costo_plan_total],0)-tblOrdenes[[#This Row],[costo_servicio]]))</f>
        <v/>
      </c>
      <c r="AK672" s="11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3">
        <f>IF(tblOrdenes[[#This Row],[fecha_inicio]]="","",TODAY()-tblOrdenes[[#This Row],[fecha_inicio]])</f>
        <v/>
      </c>
      <c r="AB6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1">
        <f>IF(tblOrdenes[[#This Row],[orden]]="","",_xlfn.XLOOKUP(tblOrdenes[[#This Row],[id_operacion]],tblEjecucion[id_operacion],tblEjecucion[precio],0))</f>
        <v/>
      </c>
      <c r="AJ673" s="11">
        <f>IF(tblOrdenes[[#This Row],[orden]]="","",MAX(0,_xlfn.XLOOKUP(tblOrdenes[[#This Row],[id_operacion]],tblEjecucion[id_operacion],tblEjecucion[costo_plan_total],0)-tblOrdenes[[#This Row],[costo_servicio]]))</f>
        <v/>
      </c>
      <c r="AK673" s="11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3">
        <f>IF(tblOrdenes[[#This Row],[fecha_inicio]]="","",TODAY()-tblOrdenes[[#This Row],[fecha_inicio]])</f>
        <v/>
      </c>
      <c r="AB6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1">
        <f>IF(tblOrdenes[[#This Row],[orden]]="","",_xlfn.XLOOKUP(tblOrdenes[[#This Row],[id_operacion]],tblEjecucion[id_operacion],tblEjecucion[precio],0))</f>
        <v/>
      </c>
      <c r="AJ674" s="11">
        <f>IF(tblOrdenes[[#This Row],[orden]]="","",MAX(0,_xlfn.XLOOKUP(tblOrdenes[[#This Row],[id_operacion]],tblEjecucion[id_operacion],tblEjecucion[costo_plan_total],0)-tblOrdenes[[#This Row],[costo_servicio]]))</f>
        <v/>
      </c>
      <c r="AK674" s="11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3">
        <f>IF(tblOrdenes[[#This Row],[fecha_inicio]]="","",TODAY()-tblOrdenes[[#This Row],[fecha_inicio]])</f>
        <v/>
      </c>
      <c r="AB6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1">
        <f>IF(tblOrdenes[[#This Row],[orden]]="","",_xlfn.XLOOKUP(tblOrdenes[[#This Row],[id_operacion]],tblEjecucion[id_operacion],tblEjecucion[precio],0))</f>
        <v/>
      </c>
      <c r="AJ675" s="11">
        <f>IF(tblOrdenes[[#This Row],[orden]]="","",MAX(0,_xlfn.XLOOKUP(tblOrdenes[[#This Row],[id_operacion]],tblEjecucion[id_operacion],tblEjecucion[costo_plan_total],0)-tblOrdenes[[#This Row],[costo_servicio]]))</f>
        <v/>
      </c>
      <c r="AK675" s="11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3">
        <f>IF(tblOrdenes[[#This Row],[fecha_inicio]]="","",TODAY()-tblOrdenes[[#This Row],[fecha_inicio]])</f>
        <v/>
      </c>
      <c r="AB6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1">
        <f>IF(tblOrdenes[[#This Row],[orden]]="","",_xlfn.XLOOKUP(tblOrdenes[[#This Row],[id_operacion]],tblEjecucion[id_operacion],tblEjecucion[precio],0))</f>
        <v/>
      </c>
      <c r="AJ676" s="11">
        <f>IF(tblOrdenes[[#This Row],[orden]]="","",MAX(0,_xlfn.XLOOKUP(tblOrdenes[[#This Row],[id_operacion]],tblEjecucion[id_operacion],tblEjecucion[costo_plan_total],0)-tblOrdenes[[#This Row],[costo_servicio]]))</f>
        <v/>
      </c>
      <c r="AK676" s="11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3">
        <f>IF(tblOrdenes[[#This Row],[fecha_inicio]]="","",TODAY()-tblOrdenes[[#This Row],[fecha_inicio]])</f>
        <v/>
      </c>
      <c r="AB6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1">
        <f>IF(tblOrdenes[[#This Row],[orden]]="","",_xlfn.XLOOKUP(tblOrdenes[[#This Row],[id_operacion]],tblEjecucion[id_operacion],tblEjecucion[precio],0))</f>
        <v/>
      </c>
      <c r="AJ677" s="11">
        <f>IF(tblOrdenes[[#This Row],[orden]]="","",MAX(0,_xlfn.XLOOKUP(tblOrdenes[[#This Row],[id_operacion]],tblEjecucion[id_operacion],tblEjecucion[costo_plan_total],0)-tblOrdenes[[#This Row],[costo_servicio]]))</f>
        <v/>
      </c>
      <c r="AK677" s="11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3">
        <f>IF(tblOrdenes[[#This Row],[fecha_inicio]]="","",TODAY()-tblOrdenes[[#This Row],[fecha_inicio]])</f>
        <v/>
      </c>
      <c r="AB6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1">
        <f>IF(tblOrdenes[[#This Row],[orden]]="","",_xlfn.XLOOKUP(tblOrdenes[[#This Row],[id_operacion]],tblEjecucion[id_operacion],tblEjecucion[precio],0))</f>
        <v/>
      </c>
      <c r="AJ678" s="11">
        <f>IF(tblOrdenes[[#This Row],[orden]]="","",MAX(0,_xlfn.XLOOKUP(tblOrdenes[[#This Row],[id_operacion]],tblEjecucion[id_operacion],tblEjecucion[costo_plan_total],0)-tblOrdenes[[#This Row],[costo_servicio]]))</f>
        <v/>
      </c>
      <c r="AK678" s="11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3">
        <f>IF(tblOrdenes[[#This Row],[fecha_inicio]]="","",TODAY()-tblOrdenes[[#This Row],[fecha_inicio]])</f>
        <v/>
      </c>
      <c r="AB6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1">
        <f>IF(tblOrdenes[[#This Row],[orden]]="","",_xlfn.XLOOKUP(tblOrdenes[[#This Row],[id_operacion]],tblEjecucion[id_operacion],tblEjecucion[precio],0))</f>
        <v/>
      </c>
      <c r="AJ679" s="11">
        <f>IF(tblOrdenes[[#This Row],[orden]]="","",MAX(0,_xlfn.XLOOKUP(tblOrdenes[[#This Row],[id_operacion]],tblEjecucion[id_operacion],tblEjecucion[costo_plan_total],0)-tblOrdenes[[#This Row],[costo_servicio]]))</f>
        <v/>
      </c>
      <c r="AK679" s="11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3">
        <f>IF(tblOrdenes[[#This Row],[fecha_inicio]]="","",TODAY()-tblOrdenes[[#This Row],[fecha_inicio]])</f>
        <v/>
      </c>
      <c r="AB6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1">
        <f>IF(tblOrdenes[[#This Row],[orden]]="","",_xlfn.XLOOKUP(tblOrdenes[[#This Row],[id_operacion]],tblEjecucion[id_operacion],tblEjecucion[precio],0))</f>
        <v/>
      </c>
      <c r="AJ680" s="11">
        <f>IF(tblOrdenes[[#This Row],[orden]]="","",MAX(0,_xlfn.XLOOKUP(tblOrdenes[[#This Row],[id_operacion]],tblEjecucion[id_operacion],tblEjecucion[costo_plan_total],0)-tblOrdenes[[#This Row],[costo_servicio]]))</f>
        <v/>
      </c>
      <c r="AK680" s="11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3">
        <f>IF(tblOrdenes[[#This Row],[fecha_inicio]]="","",TODAY()-tblOrdenes[[#This Row],[fecha_inicio]])</f>
        <v/>
      </c>
      <c r="AB6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1">
        <f>IF(tblOrdenes[[#This Row],[orden]]="","",_xlfn.XLOOKUP(tblOrdenes[[#This Row],[id_operacion]],tblEjecucion[id_operacion],tblEjecucion[precio],0))</f>
        <v/>
      </c>
      <c r="AJ681" s="11">
        <f>IF(tblOrdenes[[#This Row],[orden]]="","",MAX(0,_xlfn.XLOOKUP(tblOrdenes[[#This Row],[id_operacion]],tblEjecucion[id_operacion],tblEjecucion[costo_plan_total],0)-tblOrdenes[[#This Row],[costo_servicio]]))</f>
        <v/>
      </c>
      <c r="AK681" s="11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3">
        <f>IF(tblOrdenes[[#This Row],[fecha_inicio]]="","",TODAY()-tblOrdenes[[#This Row],[fecha_inicio]])</f>
        <v/>
      </c>
      <c r="AB6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1">
        <f>IF(tblOrdenes[[#This Row],[orden]]="","",_xlfn.XLOOKUP(tblOrdenes[[#This Row],[id_operacion]],tblEjecucion[id_operacion],tblEjecucion[precio],0))</f>
        <v/>
      </c>
      <c r="AJ682" s="11">
        <f>IF(tblOrdenes[[#This Row],[orden]]="","",MAX(0,_xlfn.XLOOKUP(tblOrdenes[[#This Row],[id_operacion]],tblEjecucion[id_operacion],tblEjecucion[costo_plan_total],0)-tblOrdenes[[#This Row],[costo_servicio]]))</f>
        <v/>
      </c>
      <c r="AK682" s="11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3">
        <f>IF(tblOrdenes[[#This Row],[fecha_inicio]]="","",TODAY()-tblOrdenes[[#This Row],[fecha_inicio]])</f>
        <v/>
      </c>
      <c r="AB6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1">
        <f>IF(tblOrdenes[[#This Row],[orden]]="","",_xlfn.XLOOKUP(tblOrdenes[[#This Row],[id_operacion]],tblEjecucion[id_operacion],tblEjecucion[precio],0))</f>
        <v/>
      </c>
      <c r="AJ683" s="11">
        <f>IF(tblOrdenes[[#This Row],[orden]]="","",MAX(0,_xlfn.XLOOKUP(tblOrdenes[[#This Row],[id_operacion]],tblEjecucion[id_operacion],tblEjecucion[costo_plan_total],0)-tblOrdenes[[#This Row],[costo_servicio]]))</f>
        <v/>
      </c>
      <c r="AK683" s="11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3">
        <f>IF(tblOrdenes[[#This Row],[fecha_inicio]]="","",TODAY()-tblOrdenes[[#This Row],[fecha_inicio]])</f>
        <v/>
      </c>
      <c r="AB6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1">
        <f>IF(tblOrdenes[[#This Row],[orden]]="","",_xlfn.XLOOKUP(tblOrdenes[[#This Row],[id_operacion]],tblEjecucion[id_operacion],tblEjecucion[precio],0))</f>
        <v/>
      </c>
      <c r="AJ684" s="11">
        <f>IF(tblOrdenes[[#This Row],[orden]]="","",MAX(0,_xlfn.XLOOKUP(tblOrdenes[[#This Row],[id_operacion]],tblEjecucion[id_operacion],tblEjecucion[costo_plan_total],0)-tblOrdenes[[#This Row],[costo_servicio]]))</f>
        <v/>
      </c>
      <c r="AK684" s="11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3">
        <f>IF(tblOrdenes[[#This Row],[fecha_inicio]]="","",TODAY()-tblOrdenes[[#This Row],[fecha_inicio]])</f>
        <v/>
      </c>
      <c r="AB6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1">
        <f>IF(tblOrdenes[[#This Row],[orden]]="","",_xlfn.XLOOKUP(tblOrdenes[[#This Row],[id_operacion]],tblEjecucion[id_operacion],tblEjecucion[precio],0))</f>
        <v/>
      </c>
      <c r="AJ685" s="11">
        <f>IF(tblOrdenes[[#This Row],[orden]]="","",MAX(0,_xlfn.XLOOKUP(tblOrdenes[[#This Row],[id_operacion]],tblEjecucion[id_operacion],tblEjecucion[costo_plan_total],0)-tblOrdenes[[#This Row],[costo_servicio]]))</f>
        <v/>
      </c>
      <c r="AK685" s="11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3">
        <f>IF(tblOrdenes[[#This Row],[fecha_inicio]]="","",TODAY()-tblOrdenes[[#This Row],[fecha_inicio]])</f>
        <v/>
      </c>
      <c r="AB6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1">
        <f>IF(tblOrdenes[[#This Row],[orden]]="","",_xlfn.XLOOKUP(tblOrdenes[[#This Row],[id_operacion]],tblEjecucion[id_operacion],tblEjecucion[precio],0))</f>
        <v/>
      </c>
      <c r="AJ686" s="11">
        <f>IF(tblOrdenes[[#This Row],[orden]]="","",MAX(0,_xlfn.XLOOKUP(tblOrdenes[[#This Row],[id_operacion]],tblEjecucion[id_operacion],tblEjecucion[costo_plan_total],0)-tblOrdenes[[#This Row],[costo_servicio]]))</f>
        <v/>
      </c>
      <c r="AK686" s="11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3">
        <f>IF(tblOrdenes[[#This Row],[fecha_inicio]]="","",TODAY()-tblOrdenes[[#This Row],[fecha_inicio]])</f>
        <v/>
      </c>
      <c r="AB6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1">
        <f>IF(tblOrdenes[[#This Row],[orden]]="","",_xlfn.XLOOKUP(tblOrdenes[[#This Row],[id_operacion]],tblEjecucion[id_operacion],tblEjecucion[precio],0))</f>
        <v/>
      </c>
      <c r="AJ687" s="11">
        <f>IF(tblOrdenes[[#This Row],[orden]]="","",MAX(0,_xlfn.XLOOKUP(tblOrdenes[[#This Row],[id_operacion]],tblEjecucion[id_operacion],tblEjecucion[costo_plan_total],0)-tblOrdenes[[#This Row],[costo_servicio]]))</f>
        <v/>
      </c>
      <c r="AK687" s="11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3">
        <f>IF(tblOrdenes[[#This Row],[fecha_inicio]]="","",TODAY()-tblOrdenes[[#This Row],[fecha_inicio]])</f>
        <v/>
      </c>
      <c r="AB6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1">
        <f>IF(tblOrdenes[[#This Row],[orden]]="","",_xlfn.XLOOKUP(tblOrdenes[[#This Row],[id_operacion]],tblEjecucion[id_operacion],tblEjecucion[precio],0))</f>
        <v/>
      </c>
      <c r="AJ688" s="11">
        <f>IF(tblOrdenes[[#This Row],[orden]]="","",MAX(0,_xlfn.XLOOKUP(tblOrdenes[[#This Row],[id_operacion]],tblEjecucion[id_operacion],tblEjecucion[costo_plan_total],0)-tblOrdenes[[#This Row],[costo_servicio]]))</f>
        <v/>
      </c>
      <c r="AK688" s="11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3">
        <f>IF(tblOrdenes[[#This Row],[fecha_inicio]]="","",TODAY()-tblOrdenes[[#This Row],[fecha_inicio]])</f>
        <v/>
      </c>
      <c r="AB6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1">
        <f>IF(tblOrdenes[[#This Row],[orden]]="","",_xlfn.XLOOKUP(tblOrdenes[[#This Row],[id_operacion]],tblEjecucion[id_operacion],tblEjecucion[precio],0))</f>
        <v/>
      </c>
      <c r="AJ689" s="11">
        <f>IF(tblOrdenes[[#This Row],[orden]]="","",MAX(0,_xlfn.XLOOKUP(tblOrdenes[[#This Row],[id_operacion]],tblEjecucion[id_operacion],tblEjecucion[costo_plan_total],0)-tblOrdenes[[#This Row],[costo_servicio]]))</f>
        <v/>
      </c>
      <c r="AK689" s="11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3">
        <f>IF(tblOrdenes[[#This Row],[fecha_inicio]]="","",TODAY()-tblOrdenes[[#This Row],[fecha_inicio]])</f>
        <v/>
      </c>
      <c r="AB6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1">
        <f>IF(tblOrdenes[[#This Row],[orden]]="","",_xlfn.XLOOKUP(tblOrdenes[[#This Row],[id_operacion]],tblEjecucion[id_operacion],tblEjecucion[precio],0))</f>
        <v/>
      </c>
      <c r="AJ690" s="11">
        <f>IF(tblOrdenes[[#This Row],[orden]]="","",MAX(0,_xlfn.XLOOKUP(tblOrdenes[[#This Row],[id_operacion]],tblEjecucion[id_operacion],tblEjecucion[costo_plan_total],0)-tblOrdenes[[#This Row],[costo_servicio]]))</f>
        <v/>
      </c>
      <c r="AK690" s="11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3">
        <f>IF(tblOrdenes[[#This Row],[fecha_inicio]]="","",TODAY()-tblOrdenes[[#This Row],[fecha_inicio]])</f>
        <v/>
      </c>
      <c r="AB6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1">
        <f>IF(tblOrdenes[[#This Row],[orden]]="","",_xlfn.XLOOKUP(tblOrdenes[[#This Row],[id_operacion]],tblEjecucion[id_operacion],tblEjecucion[precio],0))</f>
        <v/>
      </c>
      <c r="AJ691" s="11">
        <f>IF(tblOrdenes[[#This Row],[orden]]="","",MAX(0,_xlfn.XLOOKUP(tblOrdenes[[#This Row],[id_operacion]],tblEjecucion[id_operacion],tblEjecucion[costo_plan_total],0)-tblOrdenes[[#This Row],[costo_servicio]]))</f>
        <v/>
      </c>
      <c r="AK691" s="11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3">
        <f>IF(tblOrdenes[[#This Row],[fecha_inicio]]="","",TODAY()-tblOrdenes[[#This Row],[fecha_inicio]])</f>
        <v/>
      </c>
      <c r="AB6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1">
        <f>IF(tblOrdenes[[#This Row],[orden]]="","",_xlfn.XLOOKUP(tblOrdenes[[#This Row],[id_operacion]],tblEjecucion[id_operacion],tblEjecucion[precio],0))</f>
        <v/>
      </c>
      <c r="AJ692" s="11">
        <f>IF(tblOrdenes[[#This Row],[orden]]="","",MAX(0,_xlfn.XLOOKUP(tblOrdenes[[#This Row],[id_operacion]],tblEjecucion[id_operacion],tblEjecucion[costo_plan_total],0)-tblOrdenes[[#This Row],[costo_servicio]]))</f>
        <v/>
      </c>
      <c r="AK692" s="11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3">
        <f>IF(tblOrdenes[[#This Row],[fecha_inicio]]="","",TODAY()-tblOrdenes[[#This Row],[fecha_inicio]])</f>
        <v/>
      </c>
      <c r="AB6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1">
        <f>IF(tblOrdenes[[#This Row],[orden]]="","",_xlfn.XLOOKUP(tblOrdenes[[#This Row],[id_operacion]],tblEjecucion[id_operacion],tblEjecucion[precio],0))</f>
        <v/>
      </c>
      <c r="AJ693" s="11">
        <f>IF(tblOrdenes[[#This Row],[orden]]="","",MAX(0,_xlfn.XLOOKUP(tblOrdenes[[#This Row],[id_operacion]],tblEjecucion[id_operacion],tblEjecucion[costo_plan_total],0)-tblOrdenes[[#This Row],[costo_servicio]]))</f>
        <v/>
      </c>
      <c r="AK693" s="11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3">
        <f>IF(tblOrdenes[[#This Row],[fecha_inicio]]="","",TODAY()-tblOrdenes[[#This Row],[fecha_inicio]])</f>
        <v/>
      </c>
      <c r="AB6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1">
        <f>IF(tblOrdenes[[#This Row],[orden]]="","",_xlfn.XLOOKUP(tblOrdenes[[#This Row],[id_operacion]],tblEjecucion[id_operacion],tblEjecucion[precio],0))</f>
        <v/>
      </c>
      <c r="AJ694" s="11">
        <f>IF(tblOrdenes[[#This Row],[orden]]="","",MAX(0,_xlfn.XLOOKUP(tblOrdenes[[#This Row],[id_operacion]],tblEjecucion[id_operacion],tblEjecucion[costo_plan_total],0)-tblOrdenes[[#This Row],[costo_servicio]]))</f>
        <v/>
      </c>
      <c r="AK694" s="11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3">
        <f>IF(tblOrdenes[[#This Row],[fecha_inicio]]="","",TODAY()-tblOrdenes[[#This Row],[fecha_inicio]])</f>
        <v/>
      </c>
      <c r="AB6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1">
        <f>IF(tblOrdenes[[#This Row],[orden]]="","",_xlfn.XLOOKUP(tblOrdenes[[#This Row],[id_operacion]],tblEjecucion[id_operacion],tblEjecucion[precio],0))</f>
        <v/>
      </c>
      <c r="AJ695" s="11">
        <f>IF(tblOrdenes[[#This Row],[orden]]="","",MAX(0,_xlfn.XLOOKUP(tblOrdenes[[#This Row],[id_operacion]],tblEjecucion[id_operacion],tblEjecucion[costo_plan_total],0)-tblOrdenes[[#This Row],[costo_servicio]]))</f>
        <v/>
      </c>
      <c r="AK695" s="11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3">
        <f>IF(tblOrdenes[[#This Row],[fecha_inicio]]="","",TODAY()-tblOrdenes[[#This Row],[fecha_inicio]])</f>
        <v/>
      </c>
      <c r="AB6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1">
        <f>IF(tblOrdenes[[#This Row],[orden]]="","",_xlfn.XLOOKUP(tblOrdenes[[#This Row],[id_operacion]],tblEjecucion[id_operacion],tblEjecucion[precio],0))</f>
        <v/>
      </c>
      <c r="AJ696" s="11">
        <f>IF(tblOrdenes[[#This Row],[orden]]="","",MAX(0,_xlfn.XLOOKUP(tblOrdenes[[#This Row],[id_operacion]],tblEjecucion[id_operacion],tblEjecucion[costo_plan_total],0)-tblOrdenes[[#This Row],[costo_servicio]]))</f>
        <v/>
      </c>
      <c r="AK696" s="11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3">
        <f>IF(tblOrdenes[[#This Row],[fecha_inicio]]="","",TODAY()-tblOrdenes[[#This Row],[fecha_inicio]])</f>
        <v/>
      </c>
      <c r="AB6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1">
        <f>IF(tblOrdenes[[#This Row],[orden]]="","",_xlfn.XLOOKUP(tblOrdenes[[#This Row],[id_operacion]],tblEjecucion[id_operacion],tblEjecucion[precio],0))</f>
        <v/>
      </c>
      <c r="AJ697" s="11">
        <f>IF(tblOrdenes[[#This Row],[orden]]="","",MAX(0,_xlfn.XLOOKUP(tblOrdenes[[#This Row],[id_operacion]],tblEjecucion[id_operacion],tblEjecucion[costo_plan_total],0)-tblOrdenes[[#This Row],[costo_servicio]]))</f>
        <v/>
      </c>
      <c r="AK697" s="11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3">
        <f>IF(tblOrdenes[[#This Row],[fecha_inicio]]="","",TODAY()-tblOrdenes[[#This Row],[fecha_inicio]])</f>
        <v/>
      </c>
      <c r="AB6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1">
        <f>IF(tblOrdenes[[#This Row],[orden]]="","",_xlfn.XLOOKUP(tblOrdenes[[#This Row],[id_operacion]],tblEjecucion[id_operacion],tblEjecucion[precio],0))</f>
        <v/>
      </c>
      <c r="AJ698" s="11">
        <f>IF(tblOrdenes[[#This Row],[orden]]="","",MAX(0,_xlfn.XLOOKUP(tblOrdenes[[#This Row],[id_operacion]],tblEjecucion[id_operacion],tblEjecucion[costo_plan_total],0)-tblOrdenes[[#This Row],[costo_servicio]]))</f>
        <v/>
      </c>
      <c r="AK698" s="11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3">
        <f>IF(tblOrdenes[[#This Row],[fecha_inicio]]="","",TODAY()-tblOrdenes[[#This Row],[fecha_inicio]])</f>
        <v/>
      </c>
      <c r="AB6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1">
        <f>IF(tblOrdenes[[#This Row],[orden]]="","",_xlfn.XLOOKUP(tblOrdenes[[#This Row],[id_operacion]],tblEjecucion[id_operacion],tblEjecucion[precio],0))</f>
        <v/>
      </c>
      <c r="AJ699" s="11">
        <f>IF(tblOrdenes[[#This Row],[orden]]="","",MAX(0,_xlfn.XLOOKUP(tblOrdenes[[#This Row],[id_operacion]],tblEjecucion[id_operacion],tblEjecucion[costo_plan_total],0)-tblOrdenes[[#This Row],[costo_servicio]]))</f>
        <v/>
      </c>
      <c r="AK699" s="11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3">
        <f>IF(tblOrdenes[[#This Row],[fecha_inicio]]="","",TODAY()-tblOrdenes[[#This Row],[fecha_inicio]])</f>
        <v/>
      </c>
      <c r="AB7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1">
        <f>IF(tblOrdenes[[#This Row],[orden]]="","",_xlfn.XLOOKUP(tblOrdenes[[#This Row],[id_operacion]],tblEjecucion[id_operacion],tblEjecucion[precio],0))</f>
        <v/>
      </c>
      <c r="AJ700" s="11">
        <f>IF(tblOrdenes[[#This Row],[orden]]="","",MAX(0,_xlfn.XLOOKUP(tblOrdenes[[#This Row],[id_operacion]],tblEjecucion[id_operacion],tblEjecucion[costo_plan_total],0)-tblOrdenes[[#This Row],[costo_servicio]]))</f>
        <v/>
      </c>
      <c r="AK700" s="11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3">
        <f>IF(tblOrdenes[[#This Row],[fecha_inicio]]="","",TODAY()-tblOrdenes[[#This Row],[fecha_inicio]])</f>
        <v/>
      </c>
      <c r="AB7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1">
        <f>IF(tblOrdenes[[#This Row],[orden]]="","",_xlfn.XLOOKUP(tblOrdenes[[#This Row],[id_operacion]],tblEjecucion[id_operacion],tblEjecucion[precio],0))</f>
        <v/>
      </c>
      <c r="AJ701" s="11">
        <f>IF(tblOrdenes[[#This Row],[orden]]="","",MAX(0,_xlfn.XLOOKUP(tblOrdenes[[#This Row],[id_operacion]],tblEjecucion[id_operacion],tblEjecucion[costo_plan_total],0)-tblOrdenes[[#This Row],[costo_servicio]]))</f>
        <v/>
      </c>
      <c r="AK701" s="11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3">
        <f>IF(tblOrdenes[[#This Row],[fecha_inicio]]="","",TODAY()-tblOrdenes[[#This Row],[fecha_inicio]])</f>
        <v/>
      </c>
      <c r="AB7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1">
        <f>IF(tblOrdenes[[#This Row],[orden]]="","",_xlfn.XLOOKUP(tblOrdenes[[#This Row],[id_operacion]],tblEjecucion[id_operacion],tblEjecucion[precio],0))</f>
        <v/>
      </c>
      <c r="AJ702" s="11">
        <f>IF(tblOrdenes[[#This Row],[orden]]="","",MAX(0,_xlfn.XLOOKUP(tblOrdenes[[#This Row],[id_operacion]],tblEjecucion[id_operacion],tblEjecucion[costo_plan_total],0)-tblOrdenes[[#This Row],[costo_servicio]]))</f>
        <v/>
      </c>
      <c r="AK702" s="11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3">
        <f>IF(tblOrdenes[[#This Row],[fecha_inicio]]="","",TODAY()-tblOrdenes[[#This Row],[fecha_inicio]])</f>
        <v/>
      </c>
      <c r="AB7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1">
        <f>IF(tblOrdenes[[#This Row],[orden]]="","",_xlfn.XLOOKUP(tblOrdenes[[#This Row],[id_operacion]],tblEjecucion[id_operacion],tblEjecucion[precio],0))</f>
        <v/>
      </c>
      <c r="AJ703" s="11">
        <f>IF(tblOrdenes[[#This Row],[orden]]="","",MAX(0,_xlfn.XLOOKUP(tblOrdenes[[#This Row],[id_operacion]],tblEjecucion[id_operacion],tblEjecucion[costo_plan_total],0)-tblOrdenes[[#This Row],[costo_servicio]]))</f>
        <v/>
      </c>
      <c r="AK703" s="11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3">
        <f>IF(tblOrdenes[[#This Row],[fecha_inicio]]="","",TODAY()-tblOrdenes[[#This Row],[fecha_inicio]])</f>
        <v/>
      </c>
      <c r="AB7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1">
        <f>IF(tblOrdenes[[#This Row],[orden]]="","",_xlfn.XLOOKUP(tblOrdenes[[#This Row],[id_operacion]],tblEjecucion[id_operacion],tblEjecucion[precio],0))</f>
        <v/>
      </c>
      <c r="AJ704" s="11">
        <f>IF(tblOrdenes[[#This Row],[orden]]="","",MAX(0,_xlfn.XLOOKUP(tblOrdenes[[#This Row],[id_operacion]],tblEjecucion[id_operacion],tblEjecucion[costo_plan_total],0)-tblOrdenes[[#This Row],[costo_servicio]]))</f>
        <v/>
      </c>
      <c r="AK704" s="11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3">
        <f>IF(tblOrdenes[[#This Row],[fecha_inicio]]="","",TODAY()-tblOrdenes[[#This Row],[fecha_inicio]])</f>
        <v/>
      </c>
      <c r="AB7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1">
        <f>IF(tblOrdenes[[#This Row],[orden]]="","",_xlfn.XLOOKUP(tblOrdenes[[#This Row],[id_operacion]],tblEjecucion[id_operacion],tblEjecucion[precio],0))</f>
        <v/>
      </c>
      <c r="AJ705" s="11">
        <f>IF(tblOrdenes[[#This Row],[orden]]="","",MAX(0,_xlfn.XLOOKUP(tblOrdenes[[#This Row],[id_operacion]],tblEjecucion[id_operacion],tblEjecucion[costo_plan_total],0)-tblOrdenes[[#This Row],[costo_servicio]]))</f>
        <v/>
      </c>
      <c r="AK705" s="11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3">
        <f>IF(tblOrdenes[[#This Row],[fecha_inicio]]="","",TODAY()-tblOrdenes[[#This Row],[fecha_inicio]])</f>
        <v/>
      </c>
      <c r="AB7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1">
        <f>IF(tblOrdenes[[#This Row],[orden]]="","",_xlfn.XLOOKUP(tblOrdenes[[#This Row],[id_operacion]],tblEjecucion[id_operacion],tblEjecucion[precio],0))</f>
        <v/>
      </c>
      <c r="AJ706" s="11">
        <f>IF(tblOrdenes[[#This Row],[orden]]="","",MAX(0,_xlfn.XLOOKUP(tblOrdenes[[#This Row],[id_operacion]],tblEjecucion[id_operacion],tblEjecucion[costo_plan_total],0)-tblOrdenes[[#This Row],[costo_servicio]]))</f>
        <v/>
      </c>
      <c r="AK706" s="11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3">
        <f>IF(tblOrdenes[[#This Row],[fecha_inicio]]="","",TODAY()-tblOrdenes[[#This Row],[fecha_inicio]])</f>
        <v/>
      </c>
      <c r="AB7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1">
        <f>IF(tblOrdenes[[#This Row],[orden]]="","",_xlfn.XLOOKUP(tblOrdenes[[#This Row],[id_operacion]],tblEjecucion[id_operacion],tblEjecucion[precio],0))</f>
        <v/>
      </c>
      <c r="AJ707" s="11">
        <f>IF(tblOrdenes[[#This Row],[orden]]="","",MAX(0,_xlfn.XLOOKUP(tblOrdenes[[#This Row],[id_operacion]],tblEjecucion[id_operacion],tblEjecucion[costo_plan_total],0)-tblOrdenes[[#This Row],[costo_servicio]]))</f>
        <v/>
      </c>
      <c r="AK707" s="11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3">
        <f>IF(tblOrdenes[[#This Row],[fecha_inicio]]="","",TODAY()-tblOrdenes[[#This Row],[fecha_inicio]])</f>
        <v/>
      </c>
      <c r="AB7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1">
        <f>IF(tblOrdenes[[#This Row],[orden]]="","",_xlfn.XLOOKUP(tblOrdenes[[#This Row],[id_operacion]],tblEjecucion[id_operacion],tblEjecucion[precio],0))</f>
        <v/>
      </c>
      <c r="AJ708" s="11">
        <f>IF(tblOrdenes[[#This Row],[orden]]="","",MAX(0,_xlfn.XLOOKUP(tblOrdenes[[#This Row],[id_operacion]],tblEjecucion[id_operacion],tblEjecucion[costo_plan_total],0)-tblOrdenes[[#This Row],[costo_servicio]]))</f>
        <v/>
      </c>
      <c r="AK708" s="11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3">
        <f>IF(tblOrdenes[[#This Row],[fecha_inicio]]="","",TODAY()-tblOrdenes[[#This Row],[fecha_inicio]])</f>
        <v/>
      </c>
      <c r="AB7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1">
        <f>IF(tblOrdenes[[#This Row],[orden]]="","",_xlfn.XLOOKUP(tblOrdenes[[#This Row],[id_operacion]],tblEjecucion[id_operacion],tblEjecucion[precio],0))</f>
        <v/>
      </c>
      <c r="AJ709" s="11">
        <f>IF(tblOrdenes[[#This Row],[orden]]="","",MAX(0,_xlfn.XLOOKUP(tblOrdenes[[#This Row],[id_operacion]],tblEjecucion[id_operacion],tblEjecucion[costo_plan_total],0)-tblOrdenes[[#This Row],[costo_servicio]]))</f>
        <v/>
      </c>
      <c r="AK709" s="11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3">
        <f>IF(tblOrdenes[[#This Row],[fecha_inicio]]="","",TODAY()-tblOrdenes[[#This Row],[fecha_inicio]])</f>
        <v/>
      </c>
      <c r="AB7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1">
        <f>IF(tblOrdenes[[#This Row],[orden]]="","",_xlfn.XLOOKUP(tblOrdenes[[#This Row],[id_operacion]],tblEjecucion[id_operacion],tblEjecucion[precio],0))</f>
        <v/>
      </c>
      <c r="AJ710" s="11">
        <f>IF(tblOrdenes[[#This Row],[orden]]="","",MAX(0,_xlfn.XLOOKUP(tblOrdenes[[#This Row],[id_operacion]],tblEjecucion[id_operacion],tblEjecucion[costo_plan_total],0)-tblOrdenes[[#This Row],[costo_servicio]]))</f>
        <v/>
      </c>
      <c r="AK710" s="11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3">
        <f>IF(tblOrdenes[[#This Row],[fecha_inicio]]="","",TODAY()-tblOrdenes[[#This Row],[fecha_inicio]])</f>
        <v/>
      </c>
      <c r="AB7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1">
        <f>IF(tblOrdenes[[#This Row],[orden]]="","",_xlfn.XLOOKUP(tblOrdenes[[#This Row],[id_operacion]],tblEjecucion[id_operacion],tblEjecucion[precio],0))</f>
        <v/>
      </c>
      <c r="AJ711" s="11">
        <f>IF(tblOrdenes[[#This Row],[orden]]="","",MAX(0,_xlfn.XLOOKUP(tblOrdenes[[#This Row],[id_operacion]],tblEjecucion[id_operacion],tblEjecucion[costo_plan_total],0)-tblOrdenes[[#This Row],[costo_servicio]]))</f>
        <v/>
      </c>
      <c r="AK711" s="11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3">
        <f>IF(tblOrdenes[[#This Row],[fecha_inicio]]="","",TODAY()-tblOrdenes[[#This Row],[fecha_inicio]])</f>
        <v/>
      </c>
      <c r="AB7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1">
        <f>IF(tblOrdenes[[#This Row],[orden]]="","",_xlfn.XLOOKUP(tblOrdenes[[#This Row],[id_operacion]],tblEjecucion[id_operacion],tblEjecucion[precio],0))</f>
        <v/>
      </c>
      <c r="AJ712" s="11">
        <f>IF(tblOrdenes[[#This Row],[orden]]="","",MAX(0,_xlfn.XLOOKUP(tblOrdenes[[#This Row],[id_operacion]],tblEjecucion[id_operacion],tblEjecucion[costo_plan_total],0)-tblOrdenes[[#This Row],[costo_servicio]]))</f>
        <v/>
      </c>
      <c r="AK712" s="11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3">
        <f>IF(tblOrdenes[[#This Row],[fecha_inicio]]="","",TODAY()-tblOrdenes[[#This Row],[fecha_inicio]])</f>
        <v/>
      </c>
      <c r="AB7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1">
        <f>IF(tblOrdenes[[#This Row],[orden]]="","",_xlfn.XLOOKUP(tblOrdenes[[#This Row],[id_operacion]],tblEjecucion[id_operacion],tblEjecucion[precio],0))</f>
        <v/>
      </c>
      <c r="AJ713" s="11">
        <f>IF(tblOrdenes[[#This Row],[orden]]="","",MAX(0,_xlfn.XLOOKUP(tblOrdenes[[#This Row],[id_operacion]],tblEjecucion[id_operacion],tblEjecucion[costo_plan_total],0)-tblOrdenes[[#This Row],[costo_servicio]]))</f>
        <v/>
      </c>
      <c r="AK713" s="11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3">
        <f>IF(tblOrdenes[[#This Row],[fecha_inicio]]="","",TODAY()-tblOrdenes[[#This Row],[fecha_inicio]])</f>
        <v/>
      </c>
      <c r="AB7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1">
        <f>IF(tblOrdenes[[#This Row],[orden]]="","",_xlfn.XLOOKUP(tblOrdenes[[#This Row],[id_operacion]],tblEjecucion[id_operacion],tblEjecucion[precio],0))</f>
        <v/>
      </c>
      <c r="AJ714" s="11">
        <f>IF(tblOrdenes[[#This Row],[orden]]="","",MAX(0,_xlfn.XLOOKUP(tblOrdenes[[#This Row],[id_operacion]],tblEjecucion[id_operacion],tblEjecucion[costo_plan_total],0)-tblOrdenes[[#This Row],[costo_servicio]]))</f>
        <v/>
      </c>
      <c r="AK714" s="11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3">
        <f>IF(tblOrdenes[[#This Row],[fecha_inicio]]="","",TODAY()-tblOrdenes[[#This Row],[fecha_inicio]])</f>
        <v/>
      </c>
      <c r="AB7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1">
        <f>IF(tblOrdenes[[#This Row],[orden]]="","",_xlfn.XLOOKUP(tblOrdenes[[#This Row],[id_operacion]],tblEjecucion[id_operacion],tblEjecucion[precio],0))</f>
        <v/>
      </c>
      <c r="AJ715" s="11">
        <f>IF(tblOrdenes[[#This Row],[orden]]="","",MAX(0,_xlfn.XLOOKUP(tblOrdenes[[#This Row],[id_operacion]],tblEjecucion[id_operacion],tblEjecucion[costo_plan_total],0)-tblOrdenes[[#This Row],[costo_servicio]]))</f>
        <v/>
      </c>
      <c r="AK715" s="11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3">
        <f>IF(tblOrdenes[[#This Row],[fecha_inicio]]="","",TODAY()-tblOrdenes[[#This Row],[fecha_inicio]])</f>
        <v/>
      </c>
      <c r="AB7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1">
        <f>IF(tblOrdenes[[#This Row],[orden]]="","",_xlfn.XLOOKUP(tblOrdenes[[#This Row],[id_operacion]],tblEjecucion[id_operacion],tblEjecucion[precio],0))</f>
        <v/>
      </c>
      <c r="AJ716" s="11">
        <f>IF(tblOrdenes[[#This Row],[orden]]="","",MAX(0,_xlfn.XLOOKUP(tblOrdenes[[#This Row],[id_operacion]],tblEjecucion[id_operacion],tblEjecucion[costo_plan_total],0)-tblOrdenes[[#This Row],[costo_servicio]]))</f>
        <v/>
      </c>
      <c r="AK716" s="11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3">
        <f>IF(tblOrdenes[[#This Row],[fecha_inicio]]="","",TODAY()-tblOrdenes[[#This Row],[fecha_inicio]])</f>
        <v/>
      </c>
      <c r="AB7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1">
        <f>IF(tblOrdenes[[#This Row],[orden]]="","",_xlfn.XLOOKUP(tblOrdenes[[#This Row],[id_operacion]],tblEjecucion[id_operacion],tblEjecucion[precio],0))</f>
        <v/>
      </c>
      <c r="AJ717" s="11">
        <f>IF(tblOrdenes[[#This Row],[orden]]="","",MAX(0,_xlfn.XLOOKUP(tblOrdenes[[#This Row],[id_operacion]],tblEjecucion[id_operacion],tblEjecucion[costo_plan_total],0)-tblOrdenes[[#This Row],[costo_servicio]]))</f>
        <v/>
      </c>
      <c r="AK717" s="11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3">
        <f>IF(tblOrdenes[[#This Row],[fecha_inicio]]="","",TODAY()-tblOrdenes[[#This Row],[fecha_inicio]])</f>
        <v/>
      </c>
      <c r="AB7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1">
        <f>IF(tblOrdenes[[#This Row],[orden]]="","",_xlfn.XLOOKUP(tblOrdenes[[#This Row],[id_operacion]],tblEjecucion[id_operacion],tblEjecucion[precio],0))</f>
        <v/>
      </c>
      <c r="AJ718" s="11">
        <f>IF(tblOrdenes[[#This Row],[orden]]="","",MAX(0,_xlfn.XLOOKUP(tblOrdenes[[#This Row],[id_operacion]],tblEjecucion[id_operacion],tblEjecucion[costo_plan_total],0)-tblOrdenes[[#This Row],[costo_servicio]]))</f>
        <v/>
      </c>
      <c r="AK718" s="11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3">
        <f>IF(tblOrdenes[[#This Row],[fecha_inicio]]="","",TODAY()-tblOrdenes[[#This Row],[fecha_inicio]])</f>
        <v/>
      </c>
      <c r="AB7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1">
        <f>IF(tblOrdenes[[#This Row],[orden]]="","",_xlfn.XLOOKUP(tblOrdenes[[#This Row],[id_operacion]],tblEjecucion[id_operacion],tblEjecucion[precio],0))</f>
        <v/>
      </c>
      <c r="AJ719" s="11">
        <f>IF(tblOrdenes[[#This Row],[orden]]="","",MAX(0,_xlfn.XLOOKUP(tblOrdenes[[#This Row],[id_operacion]],tblEjecucion[id_operacion],tblEjecucion[costo_plan_total],0)-tblOrdenes[[#This Row],[costo_servicio]]))</f>
        <v/>
      </c>
      <c r="AK719" s="11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3">
        <f>IF(tblOrdenes[[#This Row],[fecha_inicio]]="","",TODAY()-tblOrdenes[[#This Row],[fecha_inicio]])</f>
        <v/>
      </c>
      <c r="AB7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1">
        <f>IF(tblOrdenes[[#This Row],[orden]]="","",_xlfn.XLOOKUP(tblOrdenes[[#This Row],[id_operacion]],tblEjecucion[id_operacion],tblEjecucion[precio],0))</f>
        <v/>
      </c>
      <c r="AJ720" s="11">
        <f>IF(tblOrdenes[[#This Row],[orden]]="","",MAX(0,_xlfn.XLOOKUP(tblOrdenes[[#This Row],[id_operacion]],tblEjecucion[id_operacion],tblEjecucion[costo_plan_total],0)-tblOrdenes[[#This Row],[costo_servicio]]))</f>
        <v/>
      </c>
      <c r="AK720" s="11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3">
        <f>IF(tblOrdenes[[#This Row],[fecha_inicio]]="","",TODAY()-tblOrdenes[[#This Row],[fecha_inicio]])</f>
        <v/>
      </c>
      <c r="AB7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1">
        <f>IF(tblOrdenes[[#This Row],[orden]]="","",_xlfn.XLOOKUP(tblOrdenes[[#This Row],[id_operacion]],tblEjecucion[id_operacion],tblEjecucion[precio],0))</f>
        <v/>
      </c>
      <c r="AJ721" s="11">
        <f>IF(tblOrdenes[[#This Row],[orden]]="","",MAX(0,_xlfn.XLOOKUP(tblOrdenes[[#This Row],[id_operacion]],tblEjecucion[id_operacion],tblEjecucion[costo_plan_total],0)-tblOrdenes[[#This Row],[costo_servicio]]))</f>
        <v/>
      </c>
      <c r="AK721" s="11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3">
        <f>IF(tblOrdenes[[#This Row],[fecha_inicio]]="","",TODAY()-tblOrdenes[[#This Row],[fecha_inicio]])</f>
        <v/>
      </c>
      <c r="AB7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1">
        <f>IF(tblOrdenes[[#This Row],[orden]]="","",_xlfn.XLOOKUP(tblOrdenes[[#This Row],[id_operacion]],tblEjecucion[id_operacion],tblEjecucion[precio],0))</f>
        <v/>
      </c>
      <c r="AJ722" s="11">
        <f>IF(tblOrdenes[[#This Row],[orden]]="","",MAX(0,_xlfn.XLOOKUP(tblOrdenes[[#This Row],[id_operacion]],tblEjecucion[id_operacion],tblEjecucion[costo_plan_total],0)-tblOrdenes[[#This Row],[costo_servicio]]))</f>
        <v/>
      </c>
      <c r="AK722" s="11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3">
        <f>IF(tblOrdenes[[#This Row],[fecha_inicio]]="","",TODAY()-tblOrdenes[[#This Row],[fecha_inicio]])</f>
        <v/>
      </c>
      <c r="AB7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1">
        <f>IF(tblOrdenes[[#This Row],[orden]]="","",_xlfn.XLOOKUP(tblOrdenes[[#This Row],[id_operacion]],tblEjecucion[id_operacion],tblEjecucion[precio],0))</f>
        <v/>
      </c>
      <c r="AJ723" s="11">
        <f>IF(tblOrdenes[[#This Row],[orden]]="","",MAX(0,_xlfn.XLOOKUP(tblOrdenes[[#This Row],[id_operacion]],tblEjecucion[id_operacion],tblEjecucion[costo_plan_total],0)-tblOrdenes[[#This Row],[costo_servicio]]))</f>
        <v/>
      </c>
      <c r="AK723" s="11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3">
        <f>IF(tblOrdenes[[#This Row],[fecha_inicio]]="","",TODAY()-tblOrdenes[[#This Row],[fecha_inicio]])</f>
        <v/>
      </c>
      <c r="AB7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1">
        <f>IF(tblOrdenes[[#This Row],[orden]]="","",_xlfn.XLOOKUP(tblOrdenes[[#This Row],[id_operacion]],tblEjecucion[id_operacion],tblEjecucion[precio],0))</f>
        <v/>
      </c>
      <c r="AJ724" s="11">
        <f>IF(tblOrdenes[[#This Row],[orden]]="","",MAX(0,_xlfn.XLOOKUP(tblOrdenes[[#This Row],[id_operacion]],tblEjecucion[id_operacion],tblEjecucion[costo_plan_total],0)-tblOrdenes[[#This Row],[costo_servicio]]))</f>
        <v/>
      </c>
      <c r="AK724" s="11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3">
        <f>IF(tblOrdenes[[#This Row],[fecha_inicio]]="","",TODAY()-tblOrdenes[[#This Row],[fecha_inicio]])</f>
        <v/>
      </c>
      <c r="AB7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1">
        <f>IF(tblOrdenes[[#This Row],[orden]]="","",_xlfn.XLOOKUP(tblOrdenes[[#This Row],[id_operacion]],tblEjecucion[id_operacion],tblEjecucion[precio],0))</f>
        <v/>
      </c>
      <c r="AJ725" s="11">
        <f>IF(tblOrdenes[[#This Row],[orden]]="","",MAX(0,_xlfn.XLOOKUP(tblOrdenes[[#This Row],[id_operacion]],tblEjecucion[id_operacion],tblEjecucion[costo_plan_total],0)-tblOrdenes[[#This Row],[costo_servicio]]))</f>
        <v/>
      </c>
      <c r="AK725" s="11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3">
        <f>IF(tblOrdenes[[#This Row],[fecha_inicio]]="","",TODAY()-tblOrdenes[[#This Row],[fecha_inicio]])</f>
        <v/>
      </c>
      <c r="AB7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1">
        <f>IF(tblOrdenes[[#This Row],[orden]]="","",_xlfn.XLOOKUP(tblOrdenes[[#This Row],[id_operacion]],tblEjecucion[id_operacion],tblEjecucion[precio],0))</f>
        <v/>
      </c>
      <c r="AJ726" s="11">
        <f>IF(tblOrdenes[[#This Row],[orden]]="","",MAX(0,_xlfn.XLOOKUP(tblOrdenes[[#This Row],[id_operacion]],tblEjecucion[id_operacion],tblEjecucion[costo_plan_total],0)-tblOrdenes[[#This Row],[costo_servicio]]))</f>
        <v/>
      </c>
      <c r="AK726" s="11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3">
        <f>IF(tblOrdenes[[#This Row],[fecha_inicio]]="","",TODAY()-tblOrdenes[[#This Row],[fecha_inicio]])</f>
        <v/>
      </c>
      <c r="AB7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1">
        <f>IF(tblOrdenes[[#This Row],[orden]]="","",_xlfn.XLOOKUP(tblOrdenes[[#This Row],[id_operacion]],tblEjecucion[id_operacion],tblEjecucion[precio],0))</f>
        <v/>
      </c>
      <c r="AJ727" s="11">
        <f>IF(tblOrdenes[[#This Row],[orden]]="","",MAX(0,_xlfn.XLOOKUP(tblOrdenes[[#This Row],[id_operacion]],tblEjecucion[id_operacion],tblEjecucion[costo_plan_total],0)-tblOrdenes[[#This Row],[costo_servicio]]))</f>
        <v/>
      </c>
      <c r="AK727" s="11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3">
        <f>IF(tblOrdenes[[#This Row],[fecha_inicio]]="","",TODAY()-tblOrdenes[[#This Row],[fecha_inicio]])</f>
        <v/>
      </c>
      <c r="AB7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1">
        <f>IF(tblOrdenes[[#This Row],[orden]]="","",_xlfn.XLOOKUP(tblOrdenes[[#This Row],[id_operacion]],tblEjecucion[id_operacion],tblEjecucion[precio],0))</f>
        <v/>
      </c>
      <c r="AJ728" s="11">
        <f>IF(tblOrdenes[[#This Row],[orden]]="","",MAX(0,_xlfn.XLOOKUP(tblOrdenes[[#This Row],[id_operacion]],tblEjecucion[id_operacion],tblEjecucion[costo_plan_total],0)-tblOrdenes[[#This Row],[costo_servicio]]))</f>
        <v/>
      </c>
      <c r="AK728" s="11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3">
        <f>IF(tblOrdenes[[#This Row],[fecha_inicio]]="","",TODAY()-tblOrdenes[[#This Row],[fecha_inicio]])</f>
        <v/>
      </c>
      <c r="AB7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1">
        <f>IF(tblOrdenes[[#This Row],[orden]]="","",_xlfn.XLOOKUP(tblOrdenes[[#This Row],[id_operacion]],tblEjecucion[id_operacion],tblEjecucion[precio],0))</f>
        <v/>
      </c>
      <c r="AJ729" s="11">
        <f>IF(tblOrdenes[[#This Row],[orden]]="","",MAX(0,_xlfn.XLOOKUP(tblOrdenes[[#This Row],[id_operacion]],tblEjecucion[id_operacion],tblEjecucion[costo_plan_total],0)-tblOrdenes[[#This Row],[costo_servicio]]))</f>
        <v/>
      </c>
      <c r="AK729" s="11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3">
        <f>IF(tblOrdenes[[#This Row],[fecha_inicio]]="","",TODAY()-tblOrdenes[[#This Row],[fecha_inicio]])</f>
        <v/>
      </c>
      <c r="AB7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1">
        <f>IF(tblOrdenes[[#This Row],[orden]]="","",_xlfn.XLOOKUP(tblOrdenes[[#This Row],[id_operacion]],tblEjecucion[id_operacion],tblEjecucion[precio],0))</f>
        <v/>
      </c>
      <c r="AJ730" s="11">
        <f>IF(tblOrdenes[[#This Row],[orden]]="","",MAX(0,_xlfn.XLOOKUP(tblOrdenes[[#This Row],[id_operacion]],tblEjecucion[id_operacion],tblEjecucion[costo_plan_total],0)-tblOrdenes[[#This Row],[costo_servicio]]))</f>
        <v/>
      </c>
      <c r="AK730" s="11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3">
        <f>IF(tblOrdenes[[#This Row],[fecha_inicio]]="","",TODAY()-tblOrdenes[[#This Row],[fecha_inicio]])</f>
        <v/>
      </c>
      <c r="AB7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1">
        <f>IF(tblOrdenes[[#This Row],[orden]]="","",_xlfn.XLOOKUP(tblOrdenes[[#This Row],[id_operacion]],tblEjecucion[id_operacion],tblEjecucion[precio],0))</f>
        <v/>
      </c>
      <c r="AJ731" s="11">
        <f>IF(tblOrdenes[[#This Row],[orden]]="","",MAX(0,_xlfn.XLOOKUP(tblOrdenes[[#This Row],[id_operacion]],tblEjecucion[id_operacion],tblEjecucion[costo_plan_total],0)-tblOrdenes[[#This Row],[costo_servicio]]))</f>
        <v/>
      </c>
      <c r="AK731" s="11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3">
        <f>IF(tblOrdenes[[#This Row],[fecha_inicio]]="","",TODAY()-tblOrdenes[[#This Row],[fecha_inicio]])</f>
        <v/>
      </c>
      <c r="AB7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1">
        <f>IF(tblOrdenes[[#This Row],[orden]]="","",_xlfn.XLOOKUP(tblOrdenes[[#This Row],[id_operacion]],tblEjecucion[id_operacion],tblEjecucion[precio],0))</f>
        <v/>
      </c>
      <c r="AJ732" s="11">
        <f>IF(tblOrdenes[[#This Row],[orden]]="","",MAX(0,_xlfn.XLOOKUP(tblOrdenes[[#This Row],[id_operacion]],tblEjecucion[id_operacion],tblEjecucion[costo_plan_total],0)-tblOrdenes[[#This Row],[costo_servicio]]))</f>
        <v/>
      </c>
      <c r="AK732" s="11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3">
        <f>IF(tblOrdenes[[#This Row],[fecha_inicio]]="","",TODAY()-tblOrdenes[[#This Row],[fecha_inicio]])</f>
        <v/>
      </c>
      <c r="AB7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1">
        <f>IF(tblOrdenes[[#This Row],[orden]]="","",_xlfn.XLOOKUP(tblOrdenes[[#This Row],[id_operacion]],tblEjecucion[id_operacion],tblEjecucion[precio],0))</f>
        <v/>
      </c>
      <c r="AJ733" s="11">
        <f>IF(tblOrdenes[[#This Row],[orden]]="","",MAX(0,_xlfn.XLOOKUP(tblOrdenes[[#This Row],[id_operacion]],tblEjecucion[id_operacion],tblEjecucion[costo_plan_total],0)-tblOrdenes[[#This Row],[costo_servicio]]))</f>
        <v/>
      </c>
      <c r="AK733" s="11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3">
        <f>IF(tblOrdenes[[#This Row],[fecha_inicio]]="","",TODAY()-tblOrdenes[[#This Row],[fecha_inicio]])</f>
        <v/>
      </c>
      <c r="AB7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1">
        <f>IF(tblOrdenes[[#This Row],[orden]]="","",_xlfn.XLOOKUP(tblOrdenes[[#This Row],[id_operacion]],tblEjecucion[id_operacion],tblEjecucion[precio],0))</f>
        <v/>
      </c>
      <c r="AJ734" s="11">
        <f>IF(tblOrdenes[[#This Row],[orden]]="","",MAX(0,_xlfn.XLOOKUP(tblOrdenes[[#This Row],[id_operacion]],tblEjecucion[id_operacion],tblEjecucion[costo_plan_total],0)-tblOrdenes[[#This Row],[costo_servicio]]))</f>
        <v/>
      </c>
      <c r="AK734" s="11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3">
        <f>IF(tblOrdenes[[#This Row],[fecha_inicio]]="","",TODAY()-tblOrdenes[[#This Row],[fecha_inicio]])</f>
        <v/>
      </c>
      <c r="AB7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1">
        <f>IF(tblOrdenes[[#This Row],[orden]]="","",_xlfn.XLOOKUP(tblOrdenes[[#This Row],[id_operacion]],tblEjecucion[id_operacion],tblEjecucion[precio],0))</f>
        <v/>
      </c>
      <c r="AJ735" s="11">
        <f>IF(tblOrdenes[[#This Row],[orden]]="","",MAX(0,_xlfn.XLOOKUP(tblOrdenes[[#This Row],[id_operacion]],tblEjecucion[id_operacion],tblEjecucion[costo_plan_total],0)-tblOrdenes[[#This Row],[costo_servicio]]))</f>
        <v/>
      </c>
      <c r="AK735" s="11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3">
        <f>IF(tblOrdenes[[#This Row],[fecha_inicio]]="","",TODAY()-tblOrdenes[[#This Row],[fecha_inicio]])</f>
        <v/>
      </c>
      <c r="AB7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1">
        <f>IF(tblOrdenes[[#This Row],[orden]]="","",_xlfn.XLOOKUP(tblOrdenes[[#This Row],[id_operacion]],tblEjecucion[id_operacion],tblEjecucion[precio],0))</f>
        <v/>
      </c>
      <c r="AJ736" s="11">
        <f>IF(tblOrdenes[[#This Row],[orden]]="","",MAX(0,_xlfn.XLOOKUP(tblOrdenes[[#This Row],[id_operacion]],tblEjecucion[id_operacion],tblEjecucion[costo_plan_total],0)-tblOrdenes[[#This Row],[costo_servicio]]))</f>
        <v/>
      </c>
      <c r="AK736" s="11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3">
        <f>IF(tblOrdenes[[#This Row],[fecha_inicio]]="","",TODAY()-tblOrdenes[[#This Row],[fecha_inicio]])</f>
        <v/>
      </c>
      <c r="AB7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1">
        <f>IF(tblOrdenes[[#This Row],[orden]]="","",_xlfn.XLOOKUP(tblOrdenes[[#This Row],[id_operacion]],tblEjecucion[id_operacion],tblEjecucion[precio],0))</f>
        <v/>
      </c>
      <c r="AJ737" s="11">
        <f>IF(tblOrdenes[[#This Row],[orden]]="","",MAX(0,_xlfn.XLOOKUP(tblOrdenes[[#This Row],[id_operacion]],tblEjecucion[id_operacion],tblEjecucion[costo_plan_total],0)-tblOrdenes[[#This Row],[costo_servicio]]))</f>
        <v/>
      </c>
      <c r="AK737" s="11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3">
        <f>IF(tblOrdenes[[#This Row],[fecha_inicio]]="","",TODAY()-tblOrdenes[[#This Row],[fecha_inicio]])</f>
        <v/>
      </c>
      <c r="AB7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1">
        <f>IF(tblOrdenes[[#This Row],[orden]]="","",_xlfn.XLOOKUP(tblOrdenes[[#This Row],[id_operacion]],tblEjecucion[id_operacion],tblEjecucion[precio],0))</f>
        <v/>
      </c>
      <c r="AJ738" s="11">
        <f>IF(tblOrdenes[[#This Row],[orden]]="","",MAX(0,_xlfn.XLOOKUP(tblOrdenes[[#This Row],[id_operacion]],tblEjecucion[id_operacion],tblEjecucion[costo_plan_total],0)-tblOrdenes[[#This Row],[costo_servicio]]))</f>
        <v/>
      </c>
      <c r="AK738" s="11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3">
        <f>IF(tblOrdenes[[#This Row],[fecha_inicio]]="","",TODAY()-tblOrdenes[[#This Row],[fecha_inicio]])</f>
        <v/>
      </c>
      <c r="AB7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1">
        <f>IF(tblOrdenes[[#This Row],[orden]]="","",_xlfn.XLOOKUP(tblOrdenes[[#This Row],[id_operacion]],tblEjecucion[id_operacion],tblEjecucion[precio],0))</f>
        <v/>
      </c>
      <c r="AJ739" s="11">
        <f>IF(tblOrdenes[[#This Row],[orden]]="","",MAX(0,_xlfn.XLOOKUP(tblOrdenes[[#This Row],[id_operacion]],tblEjecucion[id_operacion],tblEjecucion[costo_plan_total],0)-tblOrdenes[[#This Row],[costo_servicio]]))</f>
        <v/>
      </c>
      <c r="AK739" s="11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3">
        <f>IF(tblOrdenes[[#This Row],[fecha_inicio]]="","",TODAY()-tblOrdenes[[#This Row],[fecha_inicio]])</f>
        <v/>
      </c>
      <c r="AB7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1">
        <f>IF(tblOrdenes[[#This Row],[orden]]="","",_xlfn.XLOOKUP(tblOrdenes[[#This Row],[id_operacion]],tblEjecucion[id_operacion],tblEjecucion[precio],0))</f>
        <v/>
      </c>
      <c r="AJ740" s="11">
        <f>IF(tblOrdenes[[#This Row],[orden]]="","",MAX(0,_xlfn.XLOOKUP(tblOrdenes[[#This Row],[id_operacion]],tblEjecucion[id_operacion],tblEjecucion[costo_plan_total],0)-tblOrdenes[[#This Row],[costo_servicio]]))</f>
        <v/>
      </c>
      <c r="AK740" s="11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3">
        <f>IF(tblOrdenes[[#This Row],[fecha_inicio]]="","",TODAY()-tblOrdenes[[#This Row],[fecha_inicio]])</f>
        <v/>
      </c>
      <c r="AB7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1">
        <f>IF(tblOrdenes[[#This Row],[orden]]="","",_xlfn.XLOOKUP(tblOrdenes[[#This Row],[id_operacion]],tblEjecucion[id_operacion],tblEjecucion[precio],0))</f>
        <v/>
      </c>
      <c r="AJ741" s="11">
        <f>IF(tblOrdenes[[#This Row],[orden]]="","",MAX(0,_xlfn.XLOOKUP(tblOrdenes[[#This Row],[id_operacion]],tblEjecucion[id_operacion],tblEjecucion[costo_plan_total],0)-tblOrdenes[[#This Row],[costo_servicio]]))</f>
        <v/>
      </c>
      <c r="AK741" s="11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3">
        <f>IF(tblOrdenes[[#This Row],[fecha_inicio]]="","",TODAY()-tblOrdenes[[#This Row],[fecha_inicio]])</f>
        <v/>
      </c>
      <c r="AB7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1">
        <f>IF(tblOrdenes[[#This Row],[orden]]="","",_xlfn.XLOOKUP(tblOrdenes[[#This Row],[id_operacion]],tblEjecucion[id_operacion],tblEjecucion[precio],0))</f>
        <v/>
      </c>
      <c r="AJ742" s="11">
        <f>IF(tblOrdenes[[#This Row],[orden]]="","",MAX(0,_xlfn.XLOOKUP(tblOrdenes[[#This Row],[id_operacion]],tblEjecucion[id_operacion],tblEjecucion[costo_plan_total],0)-tblOrdenes[[#This Row],[costo_servicio]]))</f>
        <v/>
      </c>
      <c r="AK742" s="11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3">
        <f>IF(tblOrdenes[[#This Row],[fecha_inicio]]="","",TODAY()-tblOrdenes[[#This Row],[fecha_inicio]])</f>
        <v/>
      </c>
      <c r="AB7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1">
        <f>IF(tblOrdenes[[#This Row],[orden]]="","",_xlfn.XLOOKUP(tblOrdenes[[#This Row],[id_operacion]],tblEjecucion[id_operacion],tblEjecucion[precio],0))</f>
        <v/>
      </c>
      <c r="AJ743" s="11">
        <f>IF(tblOrdenes[[#This Row],[orden]]="","",MAX(0,_xlfn.XLOOKUP(tblOrdenes[[#This Row],[id_operacion]],tblEjecucion[id_operacion],tblEjecucion[costo_plan_total],0)-tblOrdenes[[#This Row],[costo_servicio]]))</f>
        <v/>
      </c>
      <c r="AK743" s="11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3">
        <f>IF(tblOrdenes[[#This Row],[fecha_inicio]]="","",TODAY()-tblOrdenes[[#This Row],[fecha_inicio]])</f>
        <v/>
      </c>
      <c r="AB7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1">
        <f>IF(tblOrdenes[[#This Row],[orden]]="","",_xlfn.XLOOKUP(tblOrdenes[[#This Row],[id_operacion]],tblEjecucion[id_operacion],tblEjecucion[precio],0))</f>
        <v/>
      </c>
      <c r="AJ744" s="11">
        <f>IF(tblOrdenes[[#This Row],[orden]]="","",MAX(0,_xlfn.XLOOKUP(tblOrdenes[[#This Row],[id_operacion]],tblEjecucion[id_operacion],tblEjecucion[costo_plan_total],0)-tblOrdenes[[#This Row],[costo_servicio]]))</f>
        <v/>
      </c>
      <c r="AK744" s="11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3">
        <f>IF(tblOrdenes[[#This Row],[fecha_inicio]]="","",TODAY()-tblOrdenes[[#This Row],[fecha_inicio]])</f>
        <v/>
      </c>
      <c r="AB7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1">
        <f>IF(tblOrdenes[[#This Row],[orden]]="","",_xlfn.XLOOKUP(tblOrdenes[[#This Row],[id_operacion]],tblEjecucion[id_operacion],tblEjecucion[precio],0))</f>
        <v/>
      </c>
      <c r="AJ745" s="11">
        <f>IF(tblOrdenes[[#This Row],[orden]]="","",MAX(0,_xlfn.XLOOKUP(tblOrdenes[[#This Row],[id_operacion]],tblEjecucion[id_operacion],tblEjecucion[costo_plan_total],0)-tblOrdenes[[#This Row],[costo_servicio]]))</f>
        <v/>
      </c>
      <c r="AK745" s="11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3">
        <f>IF(tblOrdenes[[#This Row],[fecha_inicio]]="","",TODAY()-tblOrdenes[[#This Row],[fecha_inicio]])</f>
        <v/>
      </c>
      <c r="AB7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1">
        <f>IF(tblOrdenes[[#This Row],[orden]]="","",_xlfn.XLOOKUP(tblOrdenes[[#This Row],[id_operacion]],tblEjecucion[id_operacion],tblEjecucion[precio],0))</f>
        <v/>
      </c>
      <c r="AJ746" s="11">
        <f>IF(tblOrdenes[[#This Row],[orden]]="","",MAX(0,_xlfn.XLOOKUP(tblOrdenes[[#This Row],[id_operacion]],tblEjecucion[id_operacion],tblEjecucion[costo_plan_total],0)-tblOrdenes[[#This Row],[costo_servicio]]))</f>
        <v/>
      </c>
      <c r="AK746" s="11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3">
        <f>IF(tblOrdenes[[#This Row],[fecha_inicio]]="","",TODAY()-tblOrdenes[[#This Row],[fecha_inicio]])</f>
        <v/>
      </c>
      <c r="AB7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1">
        <f>IF(tblOrdenes[[#This Row],[orden]]="","",_xlfn.XLOOKUP(tblOrdenes[[#This Row],[id_operacion]],tblEjecucion[id_operacion],tblEjecucion[precio],0))</f>
        <v/>
      </c>
      <c r="AJ747" s="11">
        <f>IF(tblOrdenes[[#This Row],[orden]]="","",MAX(0,_xlfn.XLOOKUP(tblOrdenes[[#This Row],[id_operacion]],tblEjecucion[id_operacion],tblEjecucion[costo_plan_total],0)-tblOrdenes[[#This Row],[costo_servicio]]))</f>
        <v/>
      </c>
      <c r="AK747" s="11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3">
        <f>IF(tblOrdenes[[#This Row],[fecha_inicio]]="","",TODAY()-tblOrdenes[[#This Row],[fecha_inicio]])</f>
        <v/>
      </c>
      <c r="AB7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1">
        <f>IF(tblOrdenes[[#This Row],[orden]]="","",_xlfn.XLOOKUP(tblOrdenes[[#This Row],[id_operacion]],tblEjecucion[id_operacion],tblEjecucion[precio],0))</f>
        <v/>
      </c>
      <c r="AJ748" s="11">
        <f>IF(tblOrdenes[[#This Row],[orden]]="","",MAX(0,_xlfn.XLOOKUP(tblOrdenes[[#This Row],[id_operacion]],tblEjecucion[id_operacion],tblEjecucion[costo_plan_total],0)-tblOrdenes[[#This Row],[costo_servicio]]))</f>
        <v/>
      </c>
      <c r="AK748" s="11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3">
        <f>IF(tblOrdenes[[#This Row],[fecha_inicio]]="","",TODAY()-tblOrdenes[[#This Row],[fecha_inicio]])</f>
        <v/>
      </c>
      <c r="AB7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1">
        <f>IF(tblOrdenes[[#This Row],[orden]]="","",_xlfn.XLOOKUP(tblOrdenes[[#This Row],[id_operacion]],tblEjecucion[id_operacion],tblEjecucion[precio],0))</f>
        <v/>
      </c>
      <c r="AJ749" s="11">
        <f>IF(tblOrdenes[[#This Row],[orden]]="","",MAX(0,_xlfn.XLOOKUP(tblOrdenes[[#This Row],[id_operacion]],tblEjecucion[id_operacion],tblEjecucion[costo_plan_total],0)-tblOrdenes[[#This Row],[costo_servicio]]))</f>
        <v/>
      </c>
      <c r="AK749" s="11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3">
        <f>IF(tblOrdenes[[#This Row],[fecha_inicio]]="","",TODAY()-tblOrdenes[[#This Row],[fecha_inicio]])</f>
        <v/>
      </c>
      <c r="AB7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1">
        <f>IF(tblOrdenes[[#This Row],[orden]]="","",_xlfn.XLOOKUP(tblOrdenes[[#This Row],[id_operacion]],tblEjecucion[id_operacion],tblEjecucion[precio],0))</f>
        <v/>
      </c>
      <c r="AJ750" s="11">
        <f>IF(tblOrdenes[[#This Row],[orden]]="","",MAX(0,_xlfn.XLOOKUP(tblOrdenes[[#This Row],[id_operacion]],tblEjecucion[id_operacion],tblEjecucion[costo_plan_total],0)-tblOrdenes[[#This Row],[costo_servicio]]))</f>
        <v/>
      </c>
      <c r="AK750" s="11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3">
        <f>IF(tblOrdenes[[#This Row],[fecha_inicio]]="","",TODAY()-tblOrdenes[[#This Row],[fecha_inicio]])</f>
        <v/>
      </c>
      <c r="AB7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1">
        <f>IF(tblOrdenes[[#This Row],[orden]]="","",_xlfn.XLOOKUP(tblOrdenes[[#This Row],[id_operacion]],tblEjecucion[id_operacion],tblEjecucion[precio],0))</f>
        <v/>
      </c>
      <c r="AJ751" s="11">
        <f>IF(tblOrdenes[[#This Row],[orden]]="","",MAX(0,_xlfn.XLOOKUP(tblOrdenes[[#This Row],[id_operacion]],tblEjecucion[id_operacion],tblEjecucion[costo_plan_total],0)-tblOrdenes[[#This Row],[costo_servicio]]))</f>
        <v/>
      </c>
      <c r="AK751" s="11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3">
        <f>IF(tblOrdenes[[#This Row],[fecha_inicio]]="","",TODAY()-tblOrdenes[[#This Row],[fecha_inicio]])</f>
        <v/>
      </c>
      <c r="AB7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1">
        <f>IF(tblOrdenes[[#This Row],[orden]]="","",_xlfn.XLOOKUP(tblOrdenes[[#This Row],[id_operacion]],tblEjecucion[id_operacion],tblEjecucion[precio],0))</f>
        <v/>
      </c>
      <c r="AJ752" s="11">
        <f>IF(tblOrdenes[[#This Row],[orden]]="","",MAX(0,_xlfn.XLOOKUP(tblOrdenes[[#This Row],[id_operacion]],tblEjecucion[id_operacion],tblEjecucion[costo_plan_total],0)-tblOrdenes[[#This Row],[costo_servicio]]))</f>
        <v/>
      </c>
      <c r="AK752" s="11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3">
        <f>IF(tblOrdenes[[#This Row],[fecha_inicio]]="","",TODAY()-tblOrdenes[[#This Row],[fecha_inicio]])</f>
        <v/>
      </c>
      <c r="AB7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1">
        <f>IF(tblOrdenes[[#This Row],[orden]]="","",_xlfn.XLOOKUP(tblOrdenes[[#This Row],[id_operacion]],tblEjecucion[id_operacion],tblEjecucion[precio],0))</f>
        <v/>
      </c>
      <c r="AJ753" s="11">
        <f>IF(tblOrdenes[[#This Row],[orden]]="","",MAX(0,_xlfn.XLOOKUP(tblOrdenes[[#This Row],[id_operacion]],tblEjecucion[id_operacion],tblEjecucion[costo_plan_total],0)-tblOrdenes[[#This Row],[costo_servicio]]))</f>
        <v/>
      </c>
      <c r="AK753" s="11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3">
        <f>IF(tblOrdenes[[#This Row],[fecha_inicio]]="","",TODAY()-tblOrdenes[[#This Row],[fecha_inicio]])</f>
        <v/>
      </c>
      <c r="AB7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1">
        <f>IF(tblOrdenes[[#This Row],[orden]]="","",_xlfn.XLOOKUP(tblOrdenes[[#This Row],[id_operacion]],tblEjecucion[id_operacion],tblEjecucion[precio],0))</f>
        <v/>
      </c>
      <c r="AJ754" s="11">
        <f>IF(tblOrdenes[[#This Row],[orden]]="","",MAX(0,_xlfn.XLOOKUP(tblOrdenes[[#This Row],[id_operacion]],tblEjecucion[id_operacion],tblEjecucion[costo_plan_total],0)-tblOrdenes[[#This Row],[costo_servicio]]))</f>
        <v/>
      </c>
      <c r="AK754" s="11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3">
        <f>IF(tblOrdenes[[#This Row],[fecha_inicio]]="","",TODAY()-tblOrdenes[[#This Row],[fecha_inicio]])</f>
        <v/>
      </c>
      <c r="AB7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1">
        <f>IF(tblOrdenes[[#This Row],[orden]]="","",_xlfn.XLOOKUP(tblOrdenes[[#This Row],[id_operacion]],tblEjecucion[id_operacion],tblEjecucion[precio],0))</f>
        <v/>
      </c>
      <c r="AJ755" s="11">
        <f>IF(tblOrdenes[[#This Row],[orden]]="","",MAX(0,_xlfn.XLOOKUP(tblOrdenes[[#This Row],[id_operacion]],tblEjecucion[id_operacion],tblEjecucion[costo_plan_total],0)-tblOrdenes[[#This Row],[costo_servicio]]))</f>
        <v/>
      </c>
      <c r="AK755" s="11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3">
        <f>IF(tblOrdenes[[#This Row],[fecha_inicio]]="","",TODAY()-tblOrdenes[[#This Row],[fecha_inicio]])</f>
        <v/>
      </c>
      <c r="AB7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1">
        <f>IF(tblOrdenes[[#This Row],[orden]]="","",_xlfn.XLOOKUP(tblOrdenes[[#This Row],[id_operacion]],tblEjecucion[id_operacion],tblEjecucion[precio],0))</f>
        <v/>
      </c>
      <c r="AJ756" s="11">
        <f>IF(tblOrdenes[[#This Row],[orden]]="","",MAX(0,_xlfn.XLOOKUP(tblOrdenes[[#This Row],[id_operacion]],tblEjecucion[id_operacion],tblEjecucion[costo_plan_total],0)-tblOrdenes[[#This Row],[costo_servicio]]))</f>
        <v/>
      </c>
      <c r="AK756" s="11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3">
        <f>IF(tblOrdenes[[#This Row],[fecha_inicio]]="","",TODAY()-tblOrdenes[[#This Row],[fecha_inicio]])</f>
        <v/>
      </c>
      <c r="AB7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1">
        <f>IF(tblOrdenes[[#This Row],[orden]]="","",_xlfn.XLOOKUP(tblOrdenes[[#This Row],[id_operacion]],tblEjecucion[id_operacion],tblEjecucion[precio],0))</f>
        <v/>
      </c>
      <c r="AJ757" s="11">
        <f>IF(tblOrdenes[[#This Row],[orden]]="","",MAX(0,_xlfn.XLOOKUP(tblOrdenes[[#This Row],[id_operacion]],tblEjecucion[id_operacion],tblEjecucion[costo_plan_total],0)-tblOrdenes[[#This Row],[costo_servicio]]))</f>
        <v/>
      </c>
      <c r="AK757" s="11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3">
        <f>IF(tblOrdenes[[#This Row],[fecha_inicio]]="","",TODAY()-tblOrdenes[[#This Row],[fecha_inicio]])</f>
        <v/>
      </c>
      <c r="AB7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1">
        <f>IF(tblOrdenes[[#This Row],[orden]]="","",_xlfn.XLOOKUP(tblOrdenes[[#This Row],[id_operacion]],tblEjecucion[id_operacion],tblEjecucion[precio],0))</f>
        <v/>
      </c>
      <c r="AJ758" s="11">
        <f>IF(tblOrdenes[[#This Row],[orden]]="","",MAX(0,_xlfn.XLOOKUP(tblOrdenes[[#This Row],[id_operacion]],tblEjecucion[id_operacion],tblEjecucion[costo_plan_total],0)-tblOrdenes[[#This Row],[costo_servicio]]))</f>
        <v/>
      </c>
      <c r="AK758" s="11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3">
        <f>IF(tblOrdenes[[#This Row],[fecha_inicio]]="","",TODAY()-tblOrdenes[[#This Row],[fecha_inicio]])</f>
        <v/>
      </c>
      <c r="AB7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1">
        <f>IF(tblOrdenes[[#This Row],[orden]]="","",_xlfn.XLOOKUP(tblOrdenes[[#This Row],[id_operacion]],tblEjecucion[id_operacion],tblEjecucion[precio],0))</f>
        <v/>
      </c>
      <c r="AJ759" s="11">
        <f>IF(tblOrdenes[[#This Row],[orden]]="","",MAX(0,_xlfn.XLOOKUP(tblOrdenes[[#This Row],[id_operacion]],tblEjecucion[id_operacion],tblEjecucion[costo_plan_total],0)-tblOrdenes[[#This Row],[costo_servicio]]))</f>
        <v/>
      </c>
      <c r="AK759" s="11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3">
        <f>IF(tblOrdenes[[#This Row],[fecha_inicio]]="","",TODAY()-tblOrdenes[[#This Row],[fecha_inicio]])</f>
        <v/>
      </c>
      <c r="AB7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1">
        <f>IF(tblOrdenes[[#This Row],[orden]]="","",_xlfn.XLOOKUP(tblOrdenes[[#This Row],[id_operacion]],tblEjecucion[id_operacion],tblEjecucion[precio],0))</f>
        <v/>
      </c>
      <c r="AJ760" s="11">
        <f>IF(tblOrdenes[[#This Row],[orden]]="","",MAX(0,_xlfn.XLOOKUP(tblOrdenes[[#This Row],[id_operacion]],tblEjecucion[id_operacion],tblEjecucion[costo_plan_total],0)-tblOrdenes[[#This Row],[costo_servicio]]))</f>
        <v/>
      </c>
      <c r="AK760" s="11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3">
        <f>IF(tblOrdenes[[#This Row],[fecha_inicio]]="","",TODAY()-tblOrdenes[[#This Row],[fecha_inicio]])</f>
        <v/>
      </c>
      <c r="AB7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1">
        <f>IF(tblOrdenes[[#This Row],[orden]]="","",_xlfn.XLOOKUP(tblOrdenes[[#This Row],[id_operacion]],tblEjecucion[id_operacion],tblEjecucion[precio],0))</f>
        <v/>
      </c>
      <c r="AJ761" s="11">
        <f>IF(tblOrdenes[[#This Row],[orden]]="","",MAX(0,_xlfn.XLOOKUP(tblOrdenes[[#This Row],[id_operacion]],tblEjecucion[id_operacion],tblEjecucion[costo_plan_total],0)-tblOrdenes[[#This Row],[costo_servicio]]))</f>
        <v/>
      </c>
      <c r="AK761" s="11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3">
        <f>IF(tblOrdenes[[#This Row],[fecha_inicio]]="","",TODAY()-tblOrdenes[[#This Row],[fecha_inicio]])</f>
        <v/>
      </c>
      <c r="AB7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1">
        <f>IF(tblOrdenes[[#This Row],[orden]]="","",_xlfn.XLOOKUP(tblOrdenes[[#This Row],[id_operacion]],tblEjecucion[id_operacion],tblEjecucion[precio],0))</f>
        <v/>
      </c>
      <c r="AJ762" s="11">
        <f>IF(tblOrdenes[[#This Row],[orden]]="","",MAX(0,_xlfn.XLOOKUP(tblOrdenes[[#This Row],[id_operacion]],tblEjecucion[id_operacion],tblEjecucion[costo_plan_total],0)-tblOrdenes[[#This Row],[costo_servicio]]))</f>
        <v/>
      </c>
      <c r="AK762" s="11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3">
        <f>IF(tblOrdenes[[#This Row],[fecha_inicio]]="","",TODAY()-tblOrdenes[[#This Row],[fecha_inicio]])</f>
        <v/>
      </c>
      <c r="AB7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1">
        <f>IF(tblOrdenes[[#This Row],[orden]]="","",_xlfn.XLOOKUP(tblOrdenes[[#This Row],[id_operacion]],tblEjecucion[id_operacion],tblEjecucion[precio],0))</f>
        <v/>
      </c>
      <c r="AJ763" s="11">
        <f>IF(tblOrdenes[[#This Row],[orden]]="","",MAX(0,_xlfn.XLOOKUP(tblOrdenes[[#This Row],[id_operacion]],tblEjecucion[id_operacion],tblEjecucion[costo_plan_total],0)-tblOrdenes[[#This Row],[costo_servicio]]))</f>
        <v/>
      </c>
      <c r="AK763" s="11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3">
        <f>IF(tblOrdenes[[#This Row],[fecha_inicio]]="","",TODAY()-tblOrdenes[[#This Row],[fecha_inicio]])</f>
        <v/>
      </c>
      <c r="AB7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1">
        <f>IF(tblOrdenes[[#This Row],[orden]]="","",_xlfn.XLOOKUP(tblOrdenes[[#This Row],[id_operacion]],tblEjecucion[id_operacion],tblEjecucion[precio],0))</f>
        <v/>
      </c>
      <c r="AJ764" s="11">
        <f>IF(tblOrdenes[[#This Row],[orden]]="","",MAX(0,_xlfn.XLOOKUP(tblOrdenes[[#This Row],[id_operacion]],tblEjecucion[id_operacion],tblEjecucion[costo_plan_total],0)-tblOrdenes[[#This Row],[costo_servicio]]))</f>
        <v/>
      </c>
      <c r="AK764" s="11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3">
        <f>IF(tblOrdenes[[#This Row],[fecha_inicio]]="","",TODAY()-tblOrdenes[[#This Row],[fecha_inicio]])</f>
        <v/>
      </c>
      <c r="AB7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1">
        <f>IF(tblOrdenes[[#This Row],[orden]]="","",_xlfn.XLOOKUP(tblOrdenes[[#This Row],[id_operacion]],tblEjecucion[id_operacion],tblEjecucion[precio],0))</f>
        <v/>
      </c>
      <c r="AJ765" s="11">
        <f>IF(tblOrdenes[[#This Row],[orden]]="","",MAX(0,_xlfn.XLOOKUP(tblOrdenes[[#This Row],[id_operacion]],tblEjecucion[id_operacion],tblEjecucion[costo_plan_total],0)-tblOrdenes[[#This Row],[costo_servicio]]))</f>
        <v/>
      </c>
      <c r="AK765" s="11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3">
        <f>IF(tblOrdenes[[#This Row],[fecha_inicio]]="","",TODAY()-tblOrdenes[[#This Row],[fecha_inicio]])</f>
        <v/>
      </c>
      <c r="AB7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1">
        <f>IF(tblOrdenes[[#This Row],[orden]]="","",_xlfn.XLOOKUP(tblOrdenes[[#This Row],[id_operacion]],tblEjecucion[id_operacion],tblEjecucion[precio],0))</f>
        <v/>
      </c>
      <c r="AJ766" s="11">
        <f>IF(tblOrdenes[[#This Row],[orden]]="","",MAX(0,_xlfn.XLOOKUP(tblOrdenes[[#This Row],[id_operacion]],tblEjecucion[id_operacion],tblEjecucion[costo_plan_total],0)-tblOrdenes[[#This Row],[costo_servicio]]))</f>
        <v/>
      </c>
      <c r="AK766" s="11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3">
        <f>IF(tblOrdenes[[#This Row],[fecha_inicio]]="","",TODAY()-tblOrdenes[[#This Row],[fecha_inicio]])</f>
        <v/>
      </c>
      <c r="AB7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1">
        <f>IF(tblOrdenes[[#This Row],[orden]]="","",_xlfn.XLOOKUP(tblOrdenes[[#This Row],[id_operacion]],tblEjecucion[id_operacion],tblEjecucion[precio],0))</f>
        <v/>
      </c>
      <c r="AJ767" s="11">
        <f>IF(tblOrdenes[[#This Row],[orden]]="","",MAX(0,_xlfn.XLOOKUP(tblOrdenes[[#This Row],[id_operacion]],tblEjecucion[id_operacion],tblEjecucion[costo_plan_total],0)-tblOrdenes[[#This Row],[costo_servicio]]))</f>
        <v/>
      </c>
      <c r="AK767" s="11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3">
        <f>IF(tblOrdenes[[#This Row],[fecha_inicio]]="","",TODAY()-tblOrdenes[[#This Row],[fecha_inicio]])</f>
        <v/>
      </c>
      <c r="AB7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1">
        <f>IF(tblOrdenes[[#This Row],[orden]]="","",_xlfn.XLOOKUP(tblOrdenes[[#This Row],[id_operacion]],tblEjecucion[id_operacion],tblEjecucion[precio],0))</f>
        <v/>
      </c>
      <c r="AJ768" s="11">
        <f>IF(tblOrdenes[[#This Row],[orden]]="","",MAX(0,_xlfn.XLOOKUP(tblOrdenes[[#This Row],[id_operacion]],tblEjecucion[id_operacion],tblEjecucion[costo_plan_total],0)-tblOrdenes[[#This Row],[costo_servicio]]))</f>
        <v/>
      </c>
      <c r="AK768" s="11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3">
        <f>IF(tblOrdenes[[#This Row],[fecha_inicio]]="","",TODAY()-tblOrdenes[[#This Row],[fecha_inicio]])</f>
        <v/>
      </c>
      <c r="AB7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1">
        <f>IF(tblOrdenes[[#This Row],[orden]]="","",_xlfn.XLOOKUP(tblOrdenes[[#This Row],[id_operacion]],tblEjecucion[id_operacion],tblEjecucion[precio],0))</f>
        <v/>
      </c>
      <c r="AJ769" s="11">
        <f>IF(tblOrdenes[[#This Row],[orden]]="","",MAX(0,_xlfn.XLOOKUP(tblOrdenes[[#This Row],[id_operacion]],tblEjecucion[id_operacion],tblEjecucion[costo_plan_total],0)-tblOrdenes[[#This Row],[costo_servicio]]))</f>
        <v/>
      </c>
      <c r="AK769" s="11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3">
        <f>IF(tblOrdenes[[#This Row],[fecha_inicio]]="","",TODAY()-tblOrdenes[[#This Row],[fecha_inicio]])</f>
        <v/>
      </c>
      <c r="AB7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1">
        <f>IF(tblOrdenes[[#This Row],[orden]]="","",_xlfn.XLOOKUP(tblOrdenes[[#This Row],[id_operacion]],tblEjecucion[id_operacion],tblEjecucion[precio],0))</f>
        <v/>
      </c>
      <c r="AJ770" s="11">
        <f>IF(tblOrdenes[[#This Row],[orden]]="","",MAX(0,_xlfn.XLOOKUP(tblOrdenes[[#This Row],[id_operacion]],tblEjecucion[id_operacion],tblEjecucion[costo_plan_total],0)-tblOrdenes[[#This Row],[costo_servicio]]))</f>
        <v/>
      </c>
      <c r="AK770" s="11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3">
        <f>IF(tblOrdenes[[#This Row],[fecha_inicio]]="","",TODAY()-tblOrdenes[[#This Row],[fecha_inicio]])</f>
        <v/>
      </c>
      <c r="AB7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1">
        <f>IF(tblOrdenes[[#This Row],[orden]]="","",_xlfn.XLOOKUP(tblOrdenes[[#This Row],[id_operacion]],tblEjecucion[id_operacion],tblEjecucion[precio],0))</f>
        <v/>
      </c>
      <c r="AJ771" s="11">
        <f>IF(tblOrdenes[[#This Row],[orden]]="","",MAX(0,_xlfn.XLOOKUP(tblOrdenes[[#This Row],[id_operacion]],tblEjecucion[id_operacion],tblEjecucion[costo_plan_total],0)-tblOrdenes[[#This Row],[costo_servicio]]))</f>
        <v/>
      </c>
      <c r="AK771" s="11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3">
        <f>IF(tblOrdenes[[#This Row],[fecha_inicio]]="","",TODAY()-tblOrdenes[[#This Row],[fecha_inicio]])</f>
        <v/>
      </c>
      <c r="AB7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1">
        <f>IF(tblOrdenes[[#This Row],[orden]]="","",_xlfn.XLOOKUP(tblOrdenes[[#This Row],[id_operacion]],tblEjecucion[id_operacion],tblEjecucion[precio],0))</f>
        <v/>
      </c>
      <c r="AJ772" s="11">
        <f>IF(tblOrdenes[[#This Row],[orden]]="","",MAX(0,_xlfn.XLOOKUP(tblOrdenes[[#This Row],[id_operacion]],tblEjecucion[id_operacion],tblEjecucion[costo_plan_total],0)-tblOrdenes[[#This Row],[costo_servicio]]))</f>
        <v/>
      </c>
      <c r="AK772" s="11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3">
        <f>IF(tblOrdenes[[#This Row],[fecha_inicio]]="","",TODAY()-tblOrdenes[[#This Row],[fecha_inicio]])</f>
        <v/>
      </c>
      <c r="AB7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1">
        <f>IF(tblOrdenes[[#This Row],[orden]]="","",_xlfn.XLOOKUP(tblOrdenes[[#This Row],[id_operacion]],tblEjecucion[id_operacion],tblEjecucion[precio],0))</f>
        <v/>
      </c>
      <c r="AJ773" s="11">
        <f>IF(tblOrdenes[[#This Row],[orden]]="","",MAX(0,_xlfn.XLOOKUP(tblOrdenes[[#This Row],[id_operacion]],tblEjecucion[id_operacion],tblEjecucion[costo_plan_total],0)-tblOrdenes[[#This Row],[costo_servicio]]))</f>
        <v/>
      </c>
      <c r="AK773" s="11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3">
        <f>IF(tblOrdenes[[#This Row],[fecha_inicio]]="","",TODAY()-tblOrdenes[[#This Row],[fecha_inicio]])</f>
        <v/>
      </c>
      <c r="AB7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1">
        <f>IF(tblOrdenes[[#This Row],[orden]]="","",_xlfn.XLOOKUP(tblOrdenes[[#This Row],[id_operacion]],tblEjecucion[id_operacion],tblEjecucion[precio],0))</f>
        <v/>
      </c>
      <c r="AJ774" s="11">
        <f>IF(tblOrdenes[[#This Row],[orden]]="","",MAX(0,_xlfn.XLOOKUP(tblOrdenes[[#This Row],[id_operacion]],tblEjecucion[id_operacion],tblEjecucion[costo_plan_total],0)-tblOrdenes[[#This Row],[costo_servicio]]))</f>
        <v/>
      </c>
      <c r="AK774" s="11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3">
        <f>IF(tblOrdenes[[#This Row],[fecha_inicio]]="","",TODAY()-tblOrdenes[[#This Row],[fecha_inicio]])</f>
        <v/>
      </c>
      <c r="AB7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1">
        <f>IF(tblOrdenes[[#This Row],[orden]]="","",_xlfn.XLOOKUP(tblOrdenes[[#This Row],[id_operacion]],tblEjecucion[id_operacion],tblEjecucion[precio],0))</f>
        <v/>
      </c>
      <c r="AJ775" s="11">
        <f>IF(tblOrdenes[[#This Row],[orden]]="","",MAX(0,_xlfn.XLOOKUP(tblOrdenes[[#This Row],[id_operacion]],tblEjecucion[id_operacion],tblEjecucion[costo_plan_total],0)-tblOrdenes[[#This Row],[costo_servicio]]))</f>
        <v/>
      </c>
      <c r="AK775" s="11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3">
        <f>IF(tblOrdenes[[#This Row],[fecha_inicio]]="","",TODAY()-tblOrdenes[[#This Row],[fecha_inicio]])</f>
        <v/>
      </c>
      <c r="AB7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1">
        <f>IF(tblOrdenes[[#This Row],[orden]]="","",_xlfn.XLOOKUP(tblOrdenes[[#This Row],[id_operacion]],tblEjecucion[id_operacion],tblEjecucion[precio],0))</f>
        <v/>
      </c>
      <c r="AJ776" s="11">
        <f>IF(tblOrdenes[[#This Row],[orden]]="","",MAX(0,_xlfn.XLOOKUP(tblOrdenes[[#This Row],[id_operacion]],tblEjecucion[id_operacion],tblEjecucion[costo_plan_total],0)-tblOrdenes[[#This Row],[costo_servicio]]))</f>
        <v/>
      </c>
      <c r="AK776" s="11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3">
        <f>IF(tblOrdenes[[#This Row],[fecha_inicio]]="","",TODAY()-tblOrdenes[[#This Row],[fecha_inicio]])</f>
        <v/>
      </c>
      <c r="AB7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1">
        <f>IF(tblOrdenes[[#This Row],[orden]]="","",_xlfn.XLOOKUP(tblOrdenes[[#This Row],[id_operacion]],tblEjecucion[id_operacion],tblEjecucion[precio],0))</f>
        <v/>
      </c>
      <c r="AJ777" s="11">
        <f>IF(tblOrdenes[[#This Row],[orden]]="","",MAX(0,_xlfn.XLOOKUP(tblOrdenes[[#This Row],[id_operacion]],tblEjecucion[id_operacion],tblEjecucion[costo_plan_total],0)-tblOrdenes[[#This Row],[costo_servicio]]))</f>
        <v/>
      </c>
      <c r="AK777" s="11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3">
        <f>IF(tblOrdenes[[#This Row],[fecha_inicio]]="","",TODAY()-tblOrdenes[[#This Row],[fecha_inicio]])</f>
        <v/>
      </c>
      <c r="AB7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1">
        <f>IF(tblOrdenes[[#This Row],[orden]]="","",_xlfn.XLOOKUP(tblOrdenes[[#This Row],[id_operacion]],tblEjecucion[id_operacion],tblEjecucion[precio],0))</f>
        <v/>
      </c>
      <c r="AJ778" s="11">
        <f>IF(tblOrdenes[[#This Row],[orden]]="","",MAX(0,_xlfn.XLOOKUP(tblOrdenes[[#This Row],[id_operacion]],tblEjecucion[id_operacion],tblEjecucion[costo_plan_total],0)-tblOrdenes[[#This Row],[costo_servicio]]))</f>
        <v/>
      </c>
      <c r="AK778" s="11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3">
        <f>IF(tblOrdenes[[#This Row],[fecha_inicio]]="","",TODAY()-tblOrdenes[[#This Row],[fecha_inicio]])</f>
        <v/>
      </c>
      <c r="AB7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1">
        <f>IF(tblOrdenes[[#This Row],[orden]]="","",_xlfn.XLOOKUP(tblOrdenes[[#This Row],[id_operacion]],tblEjecucion[id_operacion],tblEjecucion[precio],0))</f>
        <v/>
      </c>
      <c r="AJ779" s="11">
        <f>IF(tblOrdenes[[#This Row],[orden]]="","",MAX(0,_xlfn.XLOOKUP(tblOrdenes[[#This Row],[id_operacion]],tblEjecucion[id_operacion],tblEjecucion[costo_plan_total],0)-tblOrdenes[[#This Row],[costo_servicio]]))</f>
        <v/>
      </c>
      <c r="AK779" s="11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3">
        <f>IF(tblOrdenes[[#This Row],[fecha_inicio]]="","",TODAY()-tblOrdenes[[#This Row],[fecha_inicio]])</f>
        <v/>
      </c>
      <c r="AB7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1">
        <f>IF(tblOrdenes[[#This Row],[orden]]="","",_xlfn.XLOOKUP(tblOrdenes[[#This Row],[id_operacion]],tblEjecucion[id_operacion],tblEjecucion[precio],0))</f>
        <v/>
      </c>
      <c r="AJ780" s="11">
        <f>IF(tblOrdenes[[#This Row],[orden]]="","",MAX(0,_xlfn.XLOOKUP(tblOrdenes[[#This Row],[id_operacion]],tblEjecucion[id_operacion],tblEjecucion[costo_plan_total],0)-tblOrdenes[[#This Row],[costo_servicio]]))</f>
        <v/>
      </c>
      <c r="AK780" s="11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3">
        <f>IF(tblOrdenes[[#This Row],[fecha_inicio]]="","",TODAY()-tblOrdenes[[#This Row],[fecha_inicio]])</f>
        <v/>
      </c>
      <c r="AB7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1">
        <f>IF(tblOrdenes[[#This Row],[orden]]="","",_xlfn.XLOOKUP(tblOrdenes[[#This Row],[id_operacion]],tblEjecucion[id_operacion],tblEjecucion[precio],0))</f>
        <v/>
      </c>
      <c r="AJ781" s="11">
        <f>IF(tblOrdenes[[#This Row],[orden]]="","",MAX(0,_xlfn.XLOOKUP(tblOrdenes[[#This Row],[id_operacion]],tblEjecucion[id_operacion],tblEjecucion[costo_plan_total],0)-tblOrdenes[[#This Row],[costo_servicio]]))</f>
        <v/>
      </c>
      <c r="AK781" s="11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3">
        <f>IF(tblOrdenes[[#This Row],[fecha_inicio]]="","",TODAY()-tblOrdenes[[#This Row],[fecha_inicio]])</f>
        <v/>
      </c>
      <c r="AB7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1">
        <f>IF(tblOrdenes[[#This Row],[orden]]="","",_xlfn.XLOOKUP(tblOrdenes[[#This Row],[id_operacion]],tblEjecucion[id_operacion],tblEjecucion[precio],0))</f>
        <v/>
      </c>
      <c r="AJ782" s="11">
        <f>IF(tblOrdenes[[#This Row],[orden]]="","",MAX(0,_xlfn.XLOOKUP(tblOrdenes[[#This Row],[id_operacion]],tblEjecucion[id_operacion],tblEjecucion[costo_plan_total],0)-tblOrdenes[[#This Row],[costo_servicio]]))</f>
        <v/>
      </c>
      <c r="AK782" s="11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3">
        <f>IF(tblOrdenes[[#This Row],[fecha_inicio]]="","",TODAY()-tblOrdenes[[#This Row],[fecha_inicio]])</f>
        <v/>
      </c>
      <c r="AB7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1">
        <f>IF(tblOrdenes[[#This Row],[orden]]="","",_xlfn.XLOOKUP(tblOrdenes[[#This Row],[id_operacion]],tblEjecucion[id_operacion],tblEjecucion[precio],0))</f>
        <v/>
      </c>
      <c r="AJ783" s="11">
        <f>IF(tblOrdenes[[#This Row],[orden]]="","",MAX(0,_xlfn.XLOOKUP(tblOrdenes[[#This Row],[id_operacion]],tblEjecucion[id_operacion],tblEjecucion[costo_plan_total],0)-tblOrdenes[[#This Row],[costo_servicio]]))</f>
        <v/>
      </c>
      <c r="AK783" s="11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3">
        <f>IF(tblOrdenes[[#This Row],[fecha_inicio]]="","",TODAY()-tblOrdenes[[#This Row],[fecha_inicio]])</f>
        <v/>
      </c>
      <c r="AB7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1">
        <f>IF(tblOrdenes[[#This Row],[orden]]="","",_xlfn.XLOOKUP(tblOrdenes[[#This Row],[id_operacion]],tblEjecucion[id_operacion],tblEjecucion[precio],0))</f>
        <v/>
      </c>
      <c r="AJ784" s="11">
        <f>IF(tblOrdenes[[#This Row],[orden]]="","",MAX(0,_xlfn.XLOOKUP(tblOrdenes[[#This Row],[id_operacion]],tblEjecucion[id_operacion],tblEjecucion[costo_plan_total],0)-tblOrdenes[[#This Row],[costo_servicio]]))</f>
        <v/>
      </c>
      <c r="AK784" s="11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3">
        <f>IF(tblOrdenes[[#This Row],[fecha_inicio]]="","",TODAY()-tblOrdenes[[#This Row],[fecha_inicio]])</f>
        <v/>
      </c>
      <c r="AB7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1">
        <f>IF(tblOrdenes[[#This Row],[orden]]="","",_xlfn.XLOOKUP(tblOrdenes[[#This Row],[id_operacion]],tblEjecucion[id_operacion],tblEjecucion[precio],0))</f>
        <v/>
      </c>
      <c r="AJ785" s="11">
        <f>IF(tblOrdenes[[#This Row],[orden]]="","",MAX(0,_xlfn.XLOOKUP(tblOrdenes[[#This Row],[id_operacion]],tblEjecucion[id_operacion],tblEjecucion[costo_plan_total],0)-tblOrdenes[[#This Row],[costo_servicio]]))</f>
        <v/>
      </c>
      <c r="AK785" s="11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3">
        <f>IF(tblOrdenes[[#This Row],[fecha_inicio]]="","",TODAY()-tblOrdenes[[#This Row],[fecha_inicio]])</f>
        <v/>
      </c>
      <c r="AB7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1">
        <f>IF(tblOrdenes[[#This Row],[orden]]="","",_xlfn.XLOOKUP(tblOrdenes[[#This Row],[id_operacion]],tblEjecucion[id_operacion],tblEjecucion[precio],0))</f>
        <v/>
      </c>
      <c r="AJ786" s="11">
        <f>IF(tblOrdenes[[#This Row],[orden]]="","",MAX(0,_xlfn.XLOOKUP(tblOrdenes[[#This Row],[id_operacion]],tblEjecucion[id_operacion],tblEjecucion[costo_plan_total],0)-tblOrdenes[[#This Row],[costo_servicio]]))</f>
        <v/>
      </c>
      <c r="AK786" s="11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3">
        <f>IF(tblOrdenes[[#This Row],[fecha_inicio]]="","",TODAY()-tblOrdenes[[#This Row],[fecha_inicio]])</f>
        <v/>
      </c>
      <c r="AB7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1">
        <f>IF(tblOrdenes[[#This Row],[orden]]="","",_xlfn.XLOOKUP(tblOrdenes[[#This Row],[id_operacion]],tblEjecucion[id_operacion],tblEjecucion[precio],0))</f>
        <v/>
      </c>
      <c r="AJ787" s="11">
        <f>IF(tblOrdenes[[#This Row],[orden]]="","",MAX(0,_xlfn.XLOOKUP(tblOrdenes[[#This Row],[id_operacion]],tblEjecucion[id_operacion],tblEjecucion[costo_plan_total],0)-tblOrdenes[[#This Row],[costo_servicio]]))</f>
        <v/>
      </c>
      <c r="AK787" s="11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3">
        <f>IF(tblOrdenes[[#This Row],[fecha_inicio]]="","",TODAY()-tblOrdenes[[#This Row],[fecha_inicio]])</f>
        <v/>
      </c>
      <c r="AB7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1">
        <f>IF(tblOrdenes[[#This Row],[orden]]="","",_xlfn.XLOOKUP(tblOrdenes[[#This Row],[id_operacion]],tblEjecucion[id_operacion],tblEjecucion[precio],0))</f>
        <v/>
      </c>
      <c r="AJ788" s="11">
        <f>IF(tblOrdenes[[#This Row],[orden]]="","",MAX(0,_xlfn.XLOOKUP(tblOrdenes[[#This Row],[id_operacion]],tblEjecucion[id_operacion],tblEjecucion[costo_plan_total],0)-tblOrdenes[[#This Row],[costo_servicio]]))</f>
        <v/>
      </c>
      <c r="AK788" s="11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3">
        <f>IF(tblOrdenes[[#This Row],[fecha_inicio]]="","",TODAY()-tblOrdenes[[#This Row],[fecha_inicio]])</f>
        <v/>
      </c>
      <c r="AB7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1">
        <f>IF(tblOrdenes[[#This Row],[orden]]="","",_xlfn.XLOOKUP(tblOrdenes[[#This Row],[id_operacion]],tblEjecucion[id_operacion],tblEjecucion[precio],0))</f>
        <v/>
      </c>
      <c r="AJ789" s="11">
        <f>IF(tblOrdenes[[#This Row],[orden]]="","",MAX(0,_xlfn.XLOOKUP(tblOrdenes[[#This Row],[id_operacion]],tblEjecucion[id_operacion],tblEjecucion[costo_plan_total],0)-tblOrdenes[[#This Row],[costo_servicio]]))</f>
        <v/>
      </c>
      <c r="AK789" s="11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3">
        <f>IF(tblOrdenes[[#This Row],[fecha_inicio]]="","",TODAY()-tblOrdenes[[#This Row],[fecha_inicio]])</f>
        <v/>
      </c>
      <c r="AB7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1">
        <f>IF(tblOrdenes[[#This Row],[orden]]="","",_xlfn.XLOOKUP(tblOrdenes[[#This Row],[id_operacion]],tblEjecucion[id_operacion],tblEjecucion[precio],0))</f>
        <v/>
      </c>
      <c r="AJ790" s="11">
        <f>IF(tblOrdenes[[#This Row],[orden]]="","",MAX(0,_xlfn.XLOOKUP(tblOrdenes[[#This Row],[id_operacion]],tblEjecucion[id_operacion],tblEjecucion[costo_plan_total],0)-tblOrdenes[[#This Row],[costo_servicio]]))</f>
        <v/>
      </c>
      <c r="AK790" s="11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3">
        <f>IF(tblOrdenes[[#This Row],[fecha_inicio]]="","",TODAY()-tblOrdenes[[#This Row],[fecha_inicio]])</f>
        <v/>
      </c>
      <c r="AB7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1">
        <f>IF(tblOrdenes[[#This Row],[orden]]="","",_xlfn.XLOOKUP(tblOrdenes[[#This Row],[id_operacion]],tblEjecucion[id_operacion],tblEjecucion[precio],0))</f>
        <v/>
      </c>
      <c r="AJ791" s="11">
        <f>IF(tblOrdenes[[#This Row],[orden]]="","",MAX(0,_xlfn.XLOOKUP(tblOrdenes[[#This Row],[id_operacion]],tblEjecucion[id_operacion],tblEjecucion[costo_plan_total],0)-tblOrdenes[[#This Row],[costo_servicio]]))</f>
        <v/>
      </c>
      <c r="AK791" s="11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3">
        <f>IF(tblOrdenes[[#This Row],[fecha_inicio]]="","",TODAY()-tblOrdenes[[#This Row],[fecha_inicio]])</f>
        <v/>
      </c>
      <c r="AB7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1">
        <f>IF(tblOrdenes[[#This Row],[orden]]="","",_xlfn.XLOOKUP(tblOrdenes[[#This Row],[id_operacion]],tblEjecucion[id_operacion],tblEjecucion[precio],0))</f>
        <v/>
      </c>
      <c r="AJ792" s="11">
        <f>IF(tblOrdenes[[#This Row],[orden]]="","",MAX(0,_xlfn.XLOOKUP(tblOrdenes[[#This Row],[id_operacion]],tblEjecucion[id_operacion],tblEjecucion[costo_plan_total],0)-tblOrdenes[[#This Row],[costo_servicio]]))</f>
        <v/>
      </c>
      <c r="AK792" s="11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3">
        <f>IF(tblOrdenes[[#This Row],[fecha_inicio]]="","",TODAY()-tblOrdenes[[#This Row],[fecha_inicio]])</f>
        <v/>
      </c>
      <c r="AB7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1">
        <f>IF(tblOrdenes[[#This Row],[orden]]="","",_xlfn.XLOOKUP(tblOrdenes[[#This Row],[id_operacion]],tblEjecucion[id_operacion],tblEjecucion[precio],0))</f>
        <v/>
      </c>
      <c r="AJ793" s="11">
        <f>IF(tblOrdenes[[#This Row],[orden]]="","",MAX(0,_xlfn.XLOOKUP(tblOrdenes[[#This Row],[id_operacion]],tblEjecucion[id_operacion],tblEjecucion[costo_plan_total],0)-tblOrdenes[[#This Row],[costo_servicio]]))</f>
        <v/>
      </c>
      <c r="AK793" s="11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3">
        <f>IF(tblOrdenes[[#This Row],[fecha_inicio]]="","",TODAY()-tblOrdenes[[#This Row],[fecha_inicio]])</f>
        <v/>
      </c>
      <c r="AB7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1">
        <f>IF(tblOrdenes[[#This Row],[orden]]="","",_xlfn.XLOOKUP(tblOrdenes[[#This Row],[id_operacion]],tblEjecucion[id_operacion],tblEjecucion[precio],0))</f>
        <v/>
      </c>
      <c r="AJ794" s="11">
        <f>IF(tblOrdenes[[#This Row],[orden]]="","",MAX(0,_xlfn.XLOOKUP(tblOrdenes[[#This Row],[id_operacion]],tblEjecucion[id_operacion],tblEjecucion[costo_plan_total],0)-tblOrdenes[[#This Row],[costo_servicio]]))</f>
        <v/>
      </c>
      <c r="AK794" s="11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3">
        <f>IF(tblOrdenes[[#This Row],[fecha_inicio]]="","",TODAY()-tblOrdenes[[#This Row],[fecha_inicio]])</f>
        <v/>
      </c>
      <c r="AB7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1">
        <f>IF(tblOrdenes[[#This Row],[orden]]="","",_xlfn.XLOOKUP(tblOrdenes[[#This Row],[id_operacion]],tblEjecucion[id_operacion],tblEjecucion[precio],0))</f>
        <v/>
      </c>
      <c r="AJ795" s="11">
        <f>IF(tblOrdenes[[#This Row],[orden]]="","",MAX(0,_xlfn.XLOOKUP(tblOrdenes[[#This Row],[id_operacion]],tblEjecucion[id_operacion],tblEjecucion[costo_plan_total],0)-tblOrdenes[[#This Row],[costo_servicio]]))</f>
        <v/>
      </c>
      <c r="AK795" s="11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3">
        <f>IF(tblOrdenes[[#This Row],[fecha_inicio]]="","",TODAY()-tblOrdenes[[#This Row],[fecha_inicio]])</f>
        <v/>
      </c>
      <c r="AB7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1">
        <f>IF(tblOrdenes[[#This Row],[orden]]="","",_xlfn.XLOOKUP(tblOrdenes[[#This Row],[id_operacion]],tblEjecucion[id_operacion],tblEjecucion[precio],0))</f>
        <v/>
      </c>
      <c r="AJ796" s="11">
        <f>IF(tblOrdenes[[#This Row],[orden]]="","",MAX(0,_xlfn.XLOOKUP(tblOrdenes[[#This Row],[id_operacion]],tblEjecucion[id_operacion],tblEjecucion[costo_plan_total],0)-tblOrdenes[[#This Row],[costo_servicio]]))</f>
        <v/>
      </c>
      <c r="AK796" s="11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3">
        <f>IF(tblOrdenes[[#This Row],[fecha_inicio]]="","",TODAY()-tblOrdenes[[#This Row],[fecha_inicio]])</f>
        <v/>
      </c>
      <c r="AB7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1">
        <f>IF(tblOrdenes[[#This Row],[orden]]="","",_xlfn.XLOOKUP(tblOrdenes[[#This Row],[id_operacion]],tblEjecucion[id_operacion],tblEjecucion[precio],0))</f>
        <v/>
      </c>
      <c r="AJ797" s="11">
        <f>IF(tblOrdenes[[#This Row],[orden]]="","",MAX(0,_xlfn.XLOOKUP(tblOrdenes[[#This Row],[id_operacion]],tblEjecucion[id_operacion],tblEjecucion[costo_plan_total],0)-tblOrdenes[[#This Row],[costo_servicio]]))</f>
        <v/>
      </c>
      <c r="AK797" s="11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3">
        <f>IF(tblOrdenes[[#This Row],[fecha_inicio]]="","",TODAY()-tblOrdenes[[#This Row],[fecha_inicio]])</f>
        <v/>
      </c>
      <c r="AB7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1">
        <f>IF(tblOrdenes[[#This Row],[orden]]="","",_xlfn.XLOOKUP(tblOrdenes[[#This Row],[id_operacion]],tblEjecucion[id_operacion],tblEjecucion[precio],0))</f>
        <v/>
      </c>
      <c r="AJ798" s="11">
        <f>IF(tblOrdenes[[#This Row],[orden]]="","",MAX(0,_xlfn.XLOOKUP(tblOrdenes[[#This Row],[id_operacion]],tblEjecucion[id_operacion],tblEjecucion[costo_plan_total],0)-tblOrdenes[[#This Row],[costo_servicio]]))</f>
        <v/>
      </c>
      <c r="AK798" s="11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3">
        <f>IF(tblOrdenes[[#This Row],[fecha_inicio]]="","",TODAY()-tblOrdenes[[#This Row],[fecha_inicio]])</f>
        <v/>
      </c>
      <c r="AB7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1">
        <f>IF(tblOrdenes[[#This Row],[orden]]="","",_xlfn.XLOOKUP(tblOrdenes[[#This Row],[id_operacion]],tblEjecucion[id_operacion],tblEjecucion[precio],0))</f>
        <v/>
      </c>
      <c r="AJ799" s="11">
        <f>IF(tblOrdenes[[#This Row],[orden]]="","",MAX(0,_xlfn.XLOOKUP(tblOrdenes[[#This Row],[id_operacion]],tblEjecucion[id_operacion],tblEjecucion[costo_plan_total],0)-tblOrdenes[[#This Row],[costo_servicio]]))</f>
        <v/>
      </c>
      <c r="AK799" s="11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3">
        <f>IF(tblOrdenes[[#This Row],[fecha_inicio]]="","",TODAY()-tblOrdenes[[#This Row],[fecha_inicio]])</f>
        <v/>
      </c>
      <c r="AB8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1">
        <f>IF(tblOrdenes[[#This Row],[orden]]="","",_xlfn.XLOOKUP(tblOrdenes[[#This Row],[id_operacion]],tblEjecucion[id_operacion],tblEjecucion[precio],0))</f>
        <v/>
      </c>
      <c r="AJ800" s="11">
        <f>IF(tblOrdenes[[#This Row],[orden]]="","",MAX(0,_xlfn.XLOOKUP(tblOrdenes[[#This Row],[id_operacion]],tblEjecucion[id_operacion],tblEjecucion[costo_plan_total],0)-tblOrdenes[[#This Row],[costo_servicio]]))</f>
        <v/>
      </c>
      <c r="AK800" s="11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3">
        <f>IF(tblOrdenes[[#This Row],[fecha_inicio]]="","",TODAY()-tblOrdenes[[#This Row],[fecha_inicio]])</f>
        <v/>
      </c>
      <c r="AB8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1">
        <f>IF(tblOrdenes[[#This Row],[orden]]="","",_xlfn.XLOOKUP(tblOrdenes[[#This Row],[id_operacion]],tblEjecucion[id_operacion],tblEjecucion[precio],0))</f>
        <v/>
      </c>
      <c r="AJ801" s="11">
        <f>IF(tblOrdenes[[#This Row],[orden]]="","",MAX(0,_xlfn.XLOOKUP(tblOrdenes[[#This Row],[id_operacion]],tblEjecucion[id_operacion],tblEjecucion[costo_plan_total],0)-tblOrdenes[[#This Row],[costo_servicio]]))</f>
        <v/>
      </c>
      <c r="AK801" s="11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3">
        <f>IF(tblOrdenes[[#This Row],[fecha_inicio]]="","",TODAY()-tblOrdenes[[#This Row],[fecha_inicio]])</f>
        <v/>
      </c>
      <c r="AB8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1">
        <f>IF(tblOrdenes[[#This Row],[orden]]="","",_xlfn.XLOOKUP(tblOrdenes[[#This Row],[id_operacion]],tblEjecucion[id_operacion],tblEjecucion[precio],0))</f>
        <v/>
      </c>
      <c r="AJ802" s="11">
        <f>IF(tblOrdenes[[#This Row],[orden]]="","",MAX(0,_xlfn.XLOOKUP(tblOrdenes[[#This Row],[id_operacion]],tblEjecucion[id_operacion],tblEjecucion[costo_plan_total],0)-tblOrdenes[[#This Row],[costo_servicio]]))</f>
        <v/>
      </c>
      <c r="AK802" s="11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3">
        <f>IF(tblOrdenes[[#This Row],[fecha_inicio]]="","",TODAY()-tblOrdenes[[#This Row],[fecha_inicio]])</f>
        <v/>
      </c>
      <c r="AB8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1">
        <f>IF(tblOrdenes[[#This Row],[orden]]="","",_xlfn.XLOOKUP(tblOrdenes[[#This Row],[id_operacion]],tblEjecucion[id_operacion],tblEjecucion[precio],0))</f>
        <v/>
      </c>
      <c r="AJ803" s="11">
        <f>IF(tblOrdenes[[#This Row],[orden]]="","",MAX(0,_xlfn.XLOOKUP(tblOrdenes[[#This Row],[id_operacion]],tblEjecucion[id_operacion],tblEjecucion[costo_plan_total],0)-tblOrdenes[[#This Row],[costo_servicio]]))</f>
        <v/>
      </c>
      <c r="AK803" s="11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3">
        <f>IF(tblOrdenes[[#This Row],[fecha_inicio]]="","",TODAY()-tblOrdenes[[#This Row],[fecha_inicio]])</f>
        <v/>
      </c>
      <c r="AB8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1">
        <f>IF(tblOrdenes[[#This Row],[orden]]="","",_xlfn.XLOOKUP(tblOrdenes[[#This Row],[id_operacion]],tblEjecucion[id_operacion],tblEjecucion[precio],0))</f>
        <v/>
      </c>
      <c r="AJ804" s="11">
        <f>IF(tblOrdenes[[#This Row],[orden]]="","",MAX(0,_xlfn.XLOOKUP(tblOrdenes[[#This Row],[id_operacion]],tblEjecucion[id_operacion],tblEjecucion[costo_plan_total],0)-tblOrdenes[[#This Row],[costo_servicio]]))</f>
        <v/>
      </c>
      <c r="AK804" s="11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3">
        <f>IF(tblOrdenes[[#This Row],[fecha_inicio]]="","",TODAY()-tblOrdenes[[#This Row],[fecha_inicio]])</f>
        <v/>
      </c>
      <c r="AB8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1">
        <f>IF(tblOrdenes[[#This Row],[orden]]="","",_xlfn.XLOOKUP(tblOrdenes[[#This Row],[id_operacion]],tblEjecucion[id_operacion],tblEjecucion[precio],0))</f>
        <v/>
      </c>
      <c r="AJ805" s="11">
        <f>IF(tblOrdenes[[#This Row],[orden]]="","",MAX(0,_xlfn.XLOOKUP(tblOrdenes[[#This Row],[id_operacion]],tblEjecucion[id_operacion],tblEjecucion[costo_plan_total],0)-tblOrdenes[[#This Row],[costo_servicio]]))</f>
        <v/>
      </c>
      <c r="AK805" s="11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3">
        <f>IF(tblOrdenes[[#This Row],[fecha_inicio]]="","",TODAY()-tblOrdenes[[#This Row],[fecha_inicio]])</f>
        <v/>
      </c>
      <c r="AB8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1">
        <f>IF(tblOrdenes[[#This Row],[orden]]="","",_xlfn.XLOOKUP(tblOrdenes[[#This Row],[id_operacion]],tblEjecucion[id_operacion],tblEjecucion[precio],0))</f>
        <v/>
      </c>
      <c r="AJ806" s="11">
        <f>IF(tblOrdenes[[#This Row],[orden]]="","",MAX(0,_xlfn.XLOOKUP(tblOrdenes[[#This Row],[id_operacion]],tblEjecucion[id_operacion],tblEjecucion[costo_plan_total],0)-tblOrdenes[[#This Row],[costo_servicio]]))</f>
        <v/>
      </c>
      <c r="AK806" s="11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3">
        <f>IF(tblOrdenes[[#This Row],[fecha_inicio]]="","",TODAY()-tblOrdenes[[#This Row],[fecha_inicio]])</f>
        <v/>
      </c>
      <c r="AB8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1">
        <f>IF(tblOrdenes[[#This Row],[orden]]="","",_xlfn.XLOOKUP(tblOrdenes[[#This Row],[id_operacion]],tblEjecucion[id_operacion],tblEjecucion[precio],0))</f>
        <v/>
      </c>
      <c r="AJ807" s="11">
        <f>IF(tblOrdenes[[#This Row],[orden]]="","",MAX(0,_xlfn.XLOOKUP(tblOrdenes[[#This Row],[id_operacion]],tblEjecucion[id_operacion],tblEjecucion[costo_plan_total],0)-tblOrdenes[[#This Row],[costo_servicio]]))</f>
        <v/>
      </c>
      <c r="AK807" s="11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3">
        <f>IF(tblOrdenes[[#This Row],[fecha_inicio]]="","",TODAY()-tblOrdenes[[#This Row],[fecha_inicio]])</f>
        <v/>
      </c>
      <c r="AB8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1">
        <f>IF(tblOrdenes[[#This Row],[orden]]="","",_xlfn.XLOOKUP(tblOrdenes[[#This Row],[id_operacion]],tblEjecucion[id_operacion],tblEjecucion[precio],0))</f>
        <v/>
      </c>
      <c r="AJ808" s="11">
        <f>IF(tblOrdenes[[#This Row],[orden]]="","",MAX(0,_xlfn.XLOOKUP(tblOrdenes[[#This Row],[id_operacion]],tblEjecucion[id_operacion],tblEjecucion[costo_plan_total],0)-tblOrdenes[[#This Row],[costo_servicio]]))</f>
        <v/>
      </c>
      <c r="AK808" s="11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3">
        <f>IF(tblOrdenes[[#This Row],[fecha_inicio]]="","",TODAY()-tblOrdenes[[#This Row],[fecha_inicio]])</f>
        <v/>
      </c>
      <c r="AB8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1">
        <f>IF(tblOrdenes[[#This Row],[orden]]="","",_xlfn.XLOOKUP(tblOrdenes[[#This Row],[id_operacion]],tblEjecucion[id_operacion],tblEjecucion[precio],0))</f>
        <v/>
      </c>
      <c r="AJ809" s="11">
        <f>IF(tblOrdenes[[#This Row],[orden]]="","",MAX(0,_xlfn.XLOOKUP(tblOrdenes[[#This Row],[id_operacion]],tblEjecucion[id_operacion],tblEjecucion[costo_plan_total],0)-tblOrdenes[[#This Row],[costo_servicio]]))</f>
        <v/>
      </c>
      <c r="AK809" s="11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3">
        <f>IF(tblOrdenes[[#This Row],[fecha_inicio]]="","",TODAY()-tblOrdenes[[#This Row],[fecha_inicio]])</f>
        <v/>
      </c>
      <c r="AB8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1">
        <f>IF(tblOrdenes[[#This Row],[orden]]="","",_xlfn.XLOOKUP(tblOrdenes[[#This Row],[id_operacion]],tblEjecucion[id_operacion],tblEjecucion[precio],0))</f>
        <v/>
      </c>
      <c r="AJ810" s="11">
        <f>IF(tblOrdenes[[#This Row],[orden]]="","",MAX(0,_xlfn.XLOOKUP(tblOrdenes[[#This Row],[id_operacion]],tblEjecucion[id_operacion],tblEjecucion[costo_plan_total],0)-tblOrdenes[[#This Row],[costo_servicio]]))</f>
        <v/>
      </c>
      <c r="AK810" s="11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3">
        <f>IF(tblOrdenes[[#This Row],[fecha_inicio]]="","",TODAY()-tblOrdenes[[#This Row],[fecha_inicio]])</f>
        <v/>
      </c>
      <c r="AB8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1">
        <f>IF(tblOrdenes[[#This Row],[orden]]="","",_xlfn.XLOOKUP(tblOrdenes[[#This Row],[id_operacion]],tblEjecucion[id_operacion],tblEjecucion[precio],0))</f>
        <v/>
      </c>
      <c r="AJ811" s="11">
        <f>IF(tblOrdenes[[#This Row],[orden]]="","",MAX(0,_xlfn.XLOOKUP(tblOrdenes[[#This Row],[id_operacion]],tblEjecucion[id_operacion],tblEjecucion[costo_plan_total],0)-tblOrdenes[[#This Row],[costo_servicio]]))</f>
        <v/>
      </c>
      <c r="AK811" s="11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3">
        <f>IF(tblOrdenes[[#This Row],[fecha_inicio]]="","",TODAY()-tblOrdenes[[#This Row],[fecha_inicio]])</f>
        <v/>
      </c>
      <c r="AB8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1">
        <f>IF(tblOrdenes[[#This Row],[orden]]="","",_xlfn.XLOOKUP(tblOrdenes[[#This Row],[id_operacion]],tblEjecucion[id_operacion],tblEjecucion[precio],0))</f>
        <v/>
      </c>
      <c r="AJ812" s="11">
        <f>IF(tblOrdenes[[#This Row],[orden]]="","",MAX(0,_xlfn.XLOOKUP(tblOrdenes[[#This Row],[id_operacion]],tblEjecucion[id_operacion],tblEjecucion[costo_plan_total],0)-tblOrdenes[[#This Row],[costo_servicio]]))</f>
        <v/>
      </c>
      <c r="AK812" s="11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3">
        <f>IF(tblOrdenes[[#This Row],[fecha_inicio]]="","",TODAY()-tblOrdenes[[#This Row],[fecha_inicio]])</f>
        <v/>
      </c>
      <c r="AB8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1">
        <f>IF(tblOrdenes[[#This Row],[orden]]="","",_xlfn.XLOOKUP(tblOrdenes[[#This Row],[id_operacion]],tblEjecucion[id_operacion],tblEjecucion[precio],0))</f>
        <v/>
      </c>
      <c r="AJ813" s="11">
        <f>IF(tblOrdenes[[#This Row],[orden]]="","",MAX(0,_xlfn.XLOOKUP(tblOrdenes[[#This Row],[id_operacion]],tblEjecucion[id_operacion],tblEjecucion[costo_plan_total],0)-tblOrdenes[[#This Row],[costo_servicio]]))</f>
        <v/>
      </c>
      <c r="AK813" s="11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3">
        <f>IF(tblOrdenes[[#This Row],[fecha_inicio]]="","",TODAY()-tblOrdenes[[#This Row],[fecha_inicio]])</f>
        <v/>
      </c>
      <c r="AB8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1">
        <f>IF(tblOrdenes[[#This Row],[orden]]="","",_xlfn.XLOOKUP(tblOrdenes[[#This Row],[id_operacion]],tblEjecucion[id_operacion],tblEjecucion[precio],0))</f>
        <v/>
      </c>
      <c r="AJ814" s="11">
        <f>IF(tblOrdenes[[#This Row],[orden]]="","",MAX(0,_xlfn.XLOOKUP(tblOrdenes[[#This Row],[id_operacion]],tblEjecucion[id_operacion],tblEjecucion[costo_plan_total],0)-tblOrdenes[[#This Row],[costo_servicio]]))</f>
        <v/>
      </c>
      <c r="AK814" s="11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3">
        <f>IF(tblOrdenes[[#This Row],[fecha_inicio]]="","",TODAY()-tblOrdenes[[#This Row],[fecha_inicio]])</f>
        <v/>
      </c>
      <c r="AB8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1">
        <f>IF(tblOrdenes[[#This Row],[orden]]="","",_xlfn.XLOOKUP(tblOrdenes[[#This Row],[id_operacion]],tblEjecucion[id_operacion],tblEjecucion[precio],0))</f>
        <v/>
      </c>
      <c r="AJ815" s="11">
        <f>IF(tblOrdenes[[#This Row],[orden]]="","",MAX(0,_xlfn.XLOOKUP(tblOrdenes[[#This Row],[id_operacion]],tblEjecucion[id_operacion],tblEjecucion[costo_plan_total],0)-tblOrdenes[[#This Row],[costo_servicio]]))</f>
        <v/>
      </c>
      <c r="AK815" s="11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3">
        <f>IF(tblOrdenes[[#This Row],[fecha_inicio]]="","",TODAY()-tblOrdenes[[#This Row],[fecha_inicio]])</f>
        <v/>
      </c>
      <c r="AB8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1">
        <f>IF(tblOrdenes[[#This Row],[orden]]="","",_xlfn.XLOOKUP(tblOrdenes[[#This Row],[id_operacion]],tblEjecucion[id_operacion],tblEjecucion[precio],0))</f>
        <v/>
      </c>
      <c r="AJ816" s="11">
        <f>IF(tblOrdenes[[#This Row],[orden]]="","",MAX(0,_xlfn.XLOOKUP(tblOrdenes[[#This Row],[id_operacion]],tblEjecucion[id_operacion],tblEjecucion[costo_plan_total],0)-tblOrdenes[[#This Row],[costo_servicio]]))</f>
        <v/>
      </c>
      <c r="AK816" s="11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3">
        <f>IF(tblOrdenes[[#This Row],[fecha_inicio]]="","",TODAY()-tblOrdenes[[#This Row],[fecha_inicio]])</f>
        <v/>
      </c>
      <c r="AB8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1">
        <f>IF(tblOrdenes[[#This Row],[orden]]="","",_xlfn.XLOOKUP(tblOrdenes[[#This Row],[id_operacion]],tblEjecucion[id_operacion],tblEjecucion[precio],0))</f>
        <v/>
      </c>
      <c r="AJ817" s="11">
        <f>IF(tblOrdenes[[#This Row],[orden]]="","",MAX(0,_xlfn.XLOOKUP(tblOrdenes[[#This Row],[id_operacion]],tblEjecucion[id_operacion],tblEjecucion[costo_plan_total],0)-tblOrdenes[[#This Row],[costo_servicio]]))</f>
        <v/>
      </c>
      <c r="AK817" s="11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3">
        <f>IF(tblOrdenes[[#This Row],[fecha_inicio]]="","",TODAY()-tblOrdenes[[#This Row],[fecha_inicio]])</f>
        <v/>
      </c>
      <c r="AB8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1">
        <f>IF(tblOrdenes[[#This Row],[orden]]="","",_xlfn.XLOOKUP(tblOrdenes[[#This Row],[id_operacion]],tblEjecucion[id_operacion],tblEjecucion[precio],0))</f>
        <v/>
      </c>
      <c r="AJ818" s="11">
        <f>IF(tblOrdenes[[#This Row],[orden]]="","",MAX(0,_xlfn.XLOOKUP(tblOrdenes[[#This Row],[id_operacion]],tblEjecucion[id_operacion],tblEjecucion[costo_plan_total],0)-tblOrdenes[[#This Row],[costo_servicio]]))</f>
        <v/>
      </c>
      <c r="AK818" s="11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3">
        <f>IF(tblOrdenes[[#This Row],[fecha_inicio]]="","",TODAY()-tblOrdenes[[#This Row],[fecha_inicio]])</f>
        <v/>
      </c>
      <c r="AB8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1">
        <f>IF(tblOrdenes[[#This Row],[orden]]="","",_xlfn.XLOOKUP(tblOrdenes[[#This Row],[id_operacion]],tblEjecucion[id_operacion],tblEjecucion[precio],0))</f>
        <v/>
      </c>
      <c r="AJ819" s="11">
        <f>IF(tblOrdenes[[#This Row],[orden]]="","",MAX(0,_xlfn.XLOOKUP(tblOrdenes[[#This Row],[id_operacion]],tblEjecucion[id_operacion],tblEjecucion[costo_plan_total],0)-tblOrdenes[[#This Row],[costo_servicio]]))</f>
        <v/>
      </c>
      <c r="AK819" s="11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3">
        <f>IF(tblOrdenes[[#This Row],[fecha_inicio]]="","",TODAY()-tblOrdenes[[#This Row],[fecha_inicio]])</f>
        <v/>
      </c>
      <c r="AB8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1">
        <f>IF(tblOrdenes[[#This Row],[orden]]="","",_xlfn.XLOOKUP(tblOrdenes[[#This Row],[id_operacion]],tblEjecucion[id_operacion],tblEjecucion[precio],0))</f>
        <v/>
      </c>
      <c r="AJ820" s="11">
        <f>IF(tblOrdenes[[#This Row],[orden]]="","",MAX(0,_xlfn.XLOOKUP(tblOrdenes[[#This Row],[id_operacion]],tblEjecucion[id_operacion],tblEjecucion[costo_plan_total],0)-tblOrdenes[[#This Row],[costo_servicio]]))</f>
        <v/>
      </c>
      <c r="AK820" s="11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3">
        <f>IF(tblOrdenes[[#This Row],[fecha_inicio]]="","",TODAY()-tblOrdenes[[#This Row],[fecha_inicio]])</f>
        <v/>
      </c>
      <c r="AB8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1">
        <f>IF(tblOrdenes[[#This Row],[orden]]="","",_xlfn.XLOOKUP(tblOrdenes[[#This Row],[id_operacion]],tblEjecucion[id_operacion],tblEjecucion[precio],0))</f>
        <v/>
      </c>
      <c r="AJ821" s="11">
        <f>IF(tblOrdenes[[#This Row],[orden]]="","",MAX(0,_xlfn.XLOOKUP(tblOrdenes[[#This Row],[id_operacion]],tblEjecucion[id_operacion],tblEjecucion[costo_plan_total],0)-tblOrdenes[[#This Row],[costo_servicio]]))</f>
        <v/>
      </c>
      <c r="AK821" s="11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3">
        <f>IF(tblOrdenes[[#This Row],[fecha_inicio]]="","",TODAY()-tblOrdenes[[#This Row],[fecha_inicio]])</f>
        <v/>
      </c>
      <c r="AB8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1">
        <f>IF(tblOrdenes[[#This Row],[orden]]="","",_xlfn.XLOOKUP(tblOrdenes[[#This Row],[id_operacion]],tblEjecucion[id_operacion],tblEjecucion[precio],0))</f>
        <v/>
      </c>
      <c r="AJ822" s="11">
        <f>IF(tblOrdenes[[#This Row],[orden]]="","",MAX(0,_xlfn.XLOOKUP(tblOrdenes[[#This Row],[id_operacion]],tblEjecucion[id_operacion],tblEjecucion[costo_plan_total],0)-tblOrdenes[[#This Row],[costo_servicio]]))</f>
        <v/>
      </c>
      <c r="AK822" s="11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3">
        <f>IF(tblOrdenes[[#This Row],[fecha_inicio]]="","",TODAY()-tblOrdenes[[#This Row],[fecha_inicio]])</f>
        <v/>
      </c>
      <c r="AB8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1">
        <f>IF(tblOrdenes[[#This Row],[orden]]="","",_xlfn.XLOOKUP(tblOrdenes[[#This Row],[id_operacion]],tblEjecucion[id_operacion],tblEjecucion[precio],0))</f>
        <v/>
      </c>
      <c r="AJ823" s="11">
        <f>IF(tblOrdenes[[#This Row],[orden]]="","",MAX(0,_xlfn.XLOOKUP(tblOrdenes[[#This Row],[id_operacion]],tblEjecucion[id_operacion],tblEjecucion[costo_plan_total],0)-tblOrdenes[[#This Row],[costo_servicio]]))</f>
        <v/>
      </c>
      <c r="AK823" s="11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3">
        <f>IF(tblOrdenes[[#This Row],[fecha_inicio]]="","",TODAY()-tblOrdenes[[#This Row],[fecha_inicio]])</f>
        <v/>
      </c>
      <c r="AB8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1">
        <f>IF(tblOrdenes[[#This Row],[orden]]="","",_xlfn.XLOOKUP(tblOrdenes[[#This Row],[id_operacion]],tblEjecucion[id_operacion],tblEjecucion[precio],0))</f>
        <v/>
      </c>
      <c r="AJ824" s="11">
        <f>IF(tblOrdenes[[#This Row],[orden]]="","",MAX(0,_xlfn.XLOOKUP(tblOrdenes[[#This Row],[id_operacion]],tblEjecucion[id_operacion],tblEjecucion[costo_plan_total],0)-tblOrdenes[[#This Row],[costo_servicio]]))</f>
        <v/>
      </c>
      <c r="AK824" s="11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3">
        <f>IF(tblOrdenes[[#This Row],[fecha_inicio]]="","",TODAY()-tblOrdenes[[#This Row],[fecha_inicio]])</f>
        <v/>
      </c>
      <c r="AB8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1">
        <f>IF(tblOrdenes[[#This Row],[orden]]="","",_xlfn.XLOOKUP(tblOrdenes[[#This Row],[id_operacion]],tblEjecucion[id_operacion],tblEjecucion[precio],0))</f>
        <v/>
      </c>
      <c r="AJ825" s="11">
        <f>IF(tblOrdenes[[#This Row],[orden]]="","",MAX(0,_xlfn.XLOOKUP(tblOrdenes[[#This Row],[id_operacion]],tblEjecucion[id_operacion],tblEjecucion[costo_plan_total],0)-tblOrdenes[[#This Row],[costo_servicio]]))</f>
        <v/>
      </c>
      <c r="AK825" s="11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3">
        <f>IF(tblOrdenes[[#This Row],[fecha_inicio]]="","",TODAY()-tblOrdenes[[#This Row],[fecha_inicio]])</f>
        <v/>
      </c>
      <c r="AB8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1">
        <f>IF(tblOrdenes[[#This Row],[orden]]="","",_xlfn.XLOOKUP(tblOrdenes[[#This Row],[id_operacion]],tblEjecucion[id_operacion],tblEjecucion[precio],0))</f>
        <v/>
      </c>
      <c r="AJ826" s="11">
        <f>IF(tblOrdenes[[#This Row],[orden]]="","",MAX(0,_xlfn.XLOOKUP(tblOrdenes[[#This Row],[id_operacion]],tblEjecucion[id_operacion],tblEjecucion[costo_plan_total],0)-tblOrdenes[[#This Row],[costo_servicio]]))</f>
        <v/>
      </c>
      <c r="AK826" s="11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3">
        <f>IF(tblOrdenes[[#This Row],[fecha_inicio]]="","",TODAY()-tblOrdenes[[#This Row],[fecha_inicio]])</f>
        <v/>
      </c>
      <c r="AB8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1">
        <f>IF(tblOrdenes[[#This Row],[orden]]="","",_xlfn.XLOOKUP(tblOrdenes[[#This Row],[id_operacion]],tblEjecucion[id_operacion],tblEjecucion[precio],0))</f>
        <v/>
      </c>
      <c r="AJ827" s="11">
        <f>IF(tblOrdenes[[#This Row],[orden]]="","",MAX(0,_xlfn.XLOOKUP(tblOrdenes[[#This Row],[id_operacion]],tblEjecucion[id_operacion],tblEjecucion[costo_plan_total],0)-tblOrdenes[[#This Row],[costo_servicio]]))</f>
        <v/>
      </c>
      <c r="AK827" s="11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3">
        <f>IF(tblOrdenes[[#This Row],[fecha_inicio]]="","",TODAY()-tblOrdenes[[#This Row],[fecha_inicio]])</f>
        <v/>
      </c>
      <c r="AB8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1">
        <f>IF(tblOrdenes[[#This Row],[orden]]="","",_xlfn.XLOOKUP(tblOrdenes[[#This Row],[id_operacion]],tblEjecucion[id_operacion],tblEjecucion[precio],0))</f>
        <v/>
      </c>
      <c r="AJ828" s="11">
        <f>IF(tblOrdenes[[#This Row],[orden]]="","",MAX(0,_xlfn.XLOOKUP(tblOrdenes[[#This Row],[id_operacion]],tblEjecucion[id_operacion],tblEjecucion[costo_plan_total],0)-tblOrdenes[[#This Row],[costo_servicio]]))</f>
        <v/>
      </c>
      <c r="AK828" s="11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3">
        <f>IF(tblOrdenes[[#This Row],[fecha_inicio]]="","",TODAY()-tblOrdenes[[#This Row],[fecha_inicio]])</f>
        <v/>
      </c>
      <c r="AB8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1">
        <f>IF(tblOrdenes[[#This Row],[orden]]="","",_xlfn.XLOOKUP(tblOrdenes[[#This Row],[id_operacion]],tblEjecucion[id_operacion],tblEjecucion[precio],0))</f>
        <v/>
      </c>
      <c r="AJ829" s="11">
        <f>IF(tblOrdenes[[#This Row],[orden]]="","",MAX(0,_xlfn.XLOOKUP(tblOrdenes[[#This Row],[id_operacion]],tblEjecucion[id_operacion],tblEjecucion[costo_plan_total],0)-tblOrdenes[[#This Row],[costo_servicio]]))</f>
        <v/>
      </c>
      <c r="AK829" s="11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3">
        <f>IF(tblOrdenes[[#This Row],[fecha_inicio]]="","",TODAY()-tblOrdenes[[#This Row],[fecha_inicio]])</f>
        <v/>
      </c>
      <c r="AB8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1">
        <f>IF(tblOrdenes[[#This Row],[orden]]="","",_xlfn.XLOOKUP(tblOrdenes[[#This Row],[id_operacion]],tblEjecucion[id_operacion],tblEjecucion[precio],0))</f>
        <v/>
      </c>
      <c r="AJ830" s="11">
        <f>IF(tblOrdenes[[#This Row],[orden]]="","",MAX(0,_xlfn.XLOOKUP(tblOrdenes[[#This Row],[id_operacion]],tblEjecucion[id_operacion],tblEjecucion[costo_plan_total],0)-tblOrdenes[[#This Row],[costo_servicio]]))</f>
        <v/>
      </c>
      <c r="AK830" s="11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3">
        <f>IF(tblOrdenes[[#This Row],[fecha_inicio]]="","",TODAY()-tblOrdenes[[#This Row],[fecha_inicio]])</f>
        <v/>
      </c>
      <c r="AB8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1">
        <f>IF(tblOrdenes[[#This Row],[orden]]="","",_xlfn.XLOOKUP(tblOrdenes[[#This Row],[id_operacion]],tblEjecucion[id_operacion],tblEjecucion[precio],0))</f>
        <v/>
      </c>
      <c r="AJ831" s="11">
        <f>IF(tblOrdenes[[#This Row],[orden]]="","",MAX(0,_xlfn.XLOOKUP(tblOrdenes[[#This Row],[id_operacion]],tblEjecucion[id_operacion],tblEjecucion[costo_plan_total],0)-tblOrdenes[[#This Row],[costo_servicio]]))</f>
        <v/>
      </c>
      <c r="AK831" s="11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3">
        <f>IF(tblOrdenes[[#This Row],[fecha_inicio]]="","",TODAY()-tblOrdenes[[#This Row],[fecha_inicio]])</f>
        <v/>
      </c>
      <c r="AB8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1">
        <f>IF(tblOrdenes[[#This Row],[orden]]="","",_xlfn.XLOOKUP(tblOrdenes[[#This Row],[id_operacion]],tblEjecucion[id_operacion],tblEjecucion[precio],0))</f>
        <v/>
      </c>
      <c r="AJ832" s="11">
        <f>IF(tblOrdenes[[#This Row],[orden]]="","",MAX(0,_xlfn.XLOOKUP(tblOrdenes[[#This Row],[id_operacion]],tblEjecucion[id_operacion],tblEjecucion[costo_plan_total],0)-tblOrdenes[[#This Row],[costo_servicio]]))</f>
        <v/>
      </c>
      <c r="AK832" s="11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3">
        <f>IF(tblOrdenes[[#This Row],[fecha_inicio]]="","",TODAY()-tblOrdenes[[#This Row],[fecha_inicio]])</f>
        <v/>
      </c>
      <c r="AB8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1">
        <f>IF(tblOrdenes[[#This Row],[orden]]="","",_xlfn.XLOOKUP(tblOrdenes[[#This Row],[id_operacion]],tblEjecucion[id_operacion],tblEjecucion[precio],0))</f>
        <v/>
      </c>
      <c r="AJ833" s="11">
        <f>IF(tblOrdenes[[#This Row],[orden]]="","",MAX(0,_xlfn.XLOOKUP(tblOrdenes[[#This Row],[id_operacion]],tblEjecucion[id_operacion],tblEjecucion[costo_plan_total],0)-tblOrdenes[[#This Row],[costo_servicio]]))</f>
        <v/>
      </c>
      <c r="AK833" s="11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3">
        <f>IF(tblOrdenes[[#This Row],[fecha_inicio]]="","",TODAY()-tblOrdenes[[#This Row],[fecha_inicio]])</f>
        <v/>
      </c>
      <c r="AB8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1">
        <f>IF(tblOrdenes[[#This Row],[orden]]="","",_xlfn.XLOOKUP(tblOrdenes[[#This Row],[id_operacion]],tblEjecucion[id_operacion],tblEjecucion[precio],0))</f>
        <v/>
      </c>
      <c r="AJ834" s="11">
        <f>IF(tblOrdenes[[#This Row],[orden]]="","",MAX(0,_xlfn.XLOOKUP(tblOrdenes[[#This Row],[id_operacion]],tblEjecucion[id_operacion],tblEjecucion[costo_plan_total],0)-tblOrdenes[[#This Row],[costo_servicio]]))</f>
        <v/>
      </c>
      <c r="AK834" s="11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3">
        <f>IF(tblOrdenes[[#This Row],[fecha_inicio]]="","",TODAY()-tblOrdenes[[#This Row],[fecha_inicio]])</f>
        <v/>
      </c>
      <c r="AB8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1">
        <f>IF(tblOrdenes[[#This Row],[orden]]="","",_xlfn.XLOOKUP(tblOrdenes[[#This Row],[id_operacion]],tblEjecucion[id_operacion],tblEjecucion[precio],0))</f>
        <v/>
      </c>
      <c r="AJ835" s="11">
        <f>IF(tblOrdenes[[#This Row],[orden]]="","",MAX(0,_xlfn.XLOOKUP(tblOrdenes[[#This Row],[id_operacion]],tblEjecucion[id_operacion],tblEjecucion[costo_plan_total],0)-tblOrdenes[[#This Row],[costo_servicio]]))</f>
        <v/>
      </c>
      <c r="AK835" s="11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3">
        <f>IF(tblOrdenes[[#This Row],[fecha_inicio]]="","",TODAY()-tblOrdenes[[#This Row],[fecha_inicio]])</f>
        <v/>
      </c>
      <c r="AB8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1">
        <f>IF(tblOrdenes[[#This Row],[orden]]="","",_xlfn.XLOOKUP(tblOrdenes[[#This Row],[id_operacion]],tblEjecucion[id_operacion],tblEjecucion[precio],0))</f>
        <v/>
      </c>
      <c r="AJ836" s="11">
        <f>IF(tblOrdenes[[#This Row],[orden]]="","",MAX(0,_xlfn.XLOOKUP(tblOrdenes[[#This Row],[id_operacion]],tblEjecucion[id_operacion],tblEjecucion[costo_plan_total],0)-tblOrdenes[[#This Row],[costo_servicio]]))</f>
        <v/>
      </c>
      <c r="AK836" s="11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3">
        <f>IF(tblOrdenes[[#This Row],[fecha_inicio]]="","",TODAY()-tblOrdenes[[#This Row],[fecha_inicio]])</f>
        <v/>
      </c>
      <c r="AB8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1">
        <f>IF(tblOrdenes[[#This Row],[orden]]="","",_xlfn.XLOOKUP(tblOrdenes[[#This Row],[id_operacion]],tblEjecucion[id_operacion],tblEjecucion[precio],0))</f>
        <v/>
      </c>
      <c r="AJ837" s="11">
        <f>IF(tblOrdenes[[#This Row],[orden]]="","",MAX(0,_xlfn.XLOOKUP(tblOrdenes[[#This Row],[id_operacion]],tblEjecucion[id_operacion],tblEjecucion[costo_plan_total],0)-tblOrdenes[[#This Row],[costo_servicio]]))</f>
        <v/>
      </c>
      <c r="AK837" s="11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3">
        <f>IF(tblOrdenes[[#This Row],[fecha_inicio]]="","",TODAY()-tblOrdenes[[#This Row],[fecha_inicio]])</f>
        <v/>
      </c>
      <c r="AB8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1">
        <f>IF(tblOrdenes[[#This Row],[orden]]="","",_xlfn.XLOOKUP(tblOrdenes[[#This Row],[id_operacion]],tblEjecucion[id_operacion],tblEjecucion[precio],0))</f>
        <v/>
      </c>
      <c r="AJ838" s="11">
        <f>IF(tblOrdenes[[#This Row],[orden]]="","",MAX(0,_xlfn.XLOOKUP(tblOrdenes[[#This Row],[id_operacion]],tblEjecucion[id_operacion],tblEjecucion[costo_plan_total],0)-tblOrdenes[[#This Row],[costo_servicio]]))</f>
        <v/>
      </c>
      <c r="AK838" s="11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3">
        <f>IF(tblOrdenes[[#This Row],[fecha_inicio]]="","",TODAY()-tblOrdenes[[#This Row],[fecha_inicio]])</f>
        <v/>
      </c>
      <c r="AB8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1">
        <f>IF(tblOrdenes[[#This Row],[orden]]="","",_xlfn.XLOOKUP(tblOrdenes[[#This Row],[id_operacion]],tblEjecucion[id_operacion],tblEjecucion[precio],0))</f>
        <v/>
      </c>
      <c r="AJ839" s="11">
        <f>IF(tblOrdenes[[#This Row],[orden]]="","",MAX(0,_xlfn.XLOOKUP(tblOrdenes[[#This Row],[id_operacion]],tblEjecucion[id_operacion],tblEjecucion[costo_plan_total],0)-tblOrdenes[[#This Row],[costo_servicio]]))</f>
        <v/>
      </c>
      <c r="AK839" s="11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3">
        <f>IF(tblOrdenes[[#This Row],[fecha_inicio]]="","",TODAY()-tblOrdenes[[#This Row],[fecha_inicio]])</f>
        <v/>
      </c>
      <c r="AB8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1">
        <f>IF(tblOrdenes[[#This Row],[orden]]="","",_xlfn.XLOOKUP(tblOrdenes[[#This Row],[id_operacion]],tblEjecucion[id_operacion],tblEjecucion[precio],0))</f>
        <v/>
      </c>
      <c r="AJ840" s="11">
        <f>IF(tblOrdenes[[#This Row],[orden]]="","",MAX(0,_xlfn.XLOOKUP(tblOrdenes[[#This Row],[id_operacion]],tblEjecucion[id_operacion],tblEjecucion[costo_plan_total],0)-tblOrdenes[[#This Row],[costo_servicio]]))</f>
        <v/>
      </c>
      <c r="AK840" s="11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3">
        <f>IF(tblOrdenes[[#This Row],[fecha_inicio]]="","",TODAY()-tblOrdenes[[#This Row],[fecha_inicio]])</f>
        <v/>
      </c>
      <c r="AB8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1">
        <f>IF(tblOrdenes[[#This Row],[orden]]="","",_xlfn.XLOOKUP(tblOrdenes[[#This Row],[id_operacion]],tblEjecucion[id_operacion],tblEjecucion[precio],0))</f>
        <v/>
      </c>
      <c r="AJ841" s="11">
        <f>IF(tblOrdenes[[#This Row],[orden]]="","",MAX(0,_xlfn.XLOOKUP(tblOrdenes[[#This Row],[id_operacion]],tblEjecucion[id_operacion],tblEjecucion[costo_plan_total],0)-tblOrdenes[[#This Row],[costo_servicio]]))</f>
        <v/>
      </c>
      <c r="AK841" s="11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3">
        <f>IF(tblOrdenes[[#This Row],[fecha_inicio]]="","",TODAY()-tblOrdenes[[#This Row],[fecha_inicio]])</f>
        <v/>
      </c>
      <c r="AB8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1">
        <f>IF(tblOrdenes[[#This Row],[orden]]="","",_xlfn.XLOOKUP(tblOrdenes[[#This Row],[id_operacion]],tblEjecucion[id_operacion],tblEjecucion[precio],0))</f>
        <v/>
      </c>
      <c r="AJ842" s="11">
        <f>IF(tblOrdenes[[#This Row],[orden]]="","",MAX(0,_xlfn.XLOOKUP(tblOrdenes[[#This Row],[id_operacion]],tblEjecucion[id_operacion],tblEjecucion[costo_plan_total],0)-tblOrdenes[[#This Row],[costo_servicio]]))</f>
        <v/>
      </c>
      <c r="AK842" s="11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3">
        <f>IF(tblOrdenes[[#This Row],[fecha_inicio]]="","",TODAY()-tblOrdenes[[#This Row],[fecha_inicio]])</f>
        <v/>
      </c>
      <c r="AB8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1">
        <f>IF(tblOrdenes[[#This Row],[orden]]="","",_xlfn.XLOOKUP(tblOrdenes[[#This Row],[id_operacion]],tblEjecucion[id_operacion],tblEjecucion[precio],0))</f>
        <v/>
      </c>
      <c r="AJ843" s="11">
        <f>IF(tblOrdenes[[#This Row],[orden]]="","",MAX(0,_xlfn.XLOOKUP(tblOrdenes[[#This Row],[id_operacion]],tblEjecucion[id_operacion],tblEjecucion[costo_plan_total],0)-tblOrdenes[[#This Row],[costo_servicio]]))</f>
        <v/>
      </c>
      <c r="AK843" s="11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3">
        <f>IF(tblOrdenes[[#This Row],[fecha_inicio]]="","",TODAY()-tblOrdenes[[#This Row],[fecha_inicio]])</f>
        <v/>
      </c>
      <c r="AB8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1">
        <f>IF(tblOrdenes[[#This Row],[orden]]="","",_xlfn.XLOOKUP(tblOrdenes[[#This Row],[id_operacion]],tblEjecucion[id_operacion],tblEjecucion[precio],0))</f>
        <v/>
      </c>
      <c r="AJ844" s="11">
        <f>IF(tblOrdenes[[#This Row],[orden]]="","",MAX(0,_xlfn.XLOOKUP(tblOrdenes[[#This Row],[id_operacion]],tblEjecucion[id_operacion],tblEjecucion[costo_plan_total],0)-tblOrdenes[[#This Row],[costo_servicio]]))</f>
        <v/>
      </c>
      <c r="AK844" s="11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3">
        <f>IF(tblOrdenes[[#This Row],[fecha_inicio]]="","",TODAY()-tblOrdenes[[#This Row],[fecha_inicio]])</f>
        <v/>
      </c>
      <c r="AB8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1">
        <f>IF(tblOrdenes[[#This Row],[orden]]="","",_xlfn.XLOOKUP(tblOrdenes[[#This Row],[id_operacion]],tblEjecucion[id_operacion],tblEjecucion[precio],0))</f>
        <v/>
      </c>
      <c r="AJ845" s="11">
        <f>IF(tblOrdenes[[#This Row],[orden]]="","",MAX(0,_xlfn.XLOOKUP(tblOrdenes[[#This Row],[id_operacion]],tblEjecucion[id_operacion],tblEjecucion[costo_plan_total],0)-tblOrdenes[[#This Row],[costo_servicio]]))</f>
        <v/>
      </c>
      <c r="AK845" s="11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3">
        <f>IF(tblOrdenes[[#This Row],[fecha_inicio]]="","",TODAY()-tblOrdenes[[#This Row],[fecha_inicio]])</f>
        <v/>
      </c>
      <c r="AB8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1">
        <f>IF(tblOrdenes[[#This Row],[orden]]="","",_xlfn.XLOOKUP(tblOrdenes[[#This Row],[id_operacion]],tblEjecucion[id_operacion],tblEjecucion[precio],0))</f>
        <v/>
      </c>
      <c r="AJ846" s="11">
        <f>IF(tblOrdenes[[#This Row],[orden]]="","",MAX(0,_xlfn.XLOOKUP(tblOrdenes[[#This Row],[id_operacion]],tblEjecucion[id_operacion],tblEjecucion[costo_plan_total],0)-tblOrdenes[[#This Row],[costo_servicio]]))</f>
        <v/>
      </c>
      <c r="AK846" s="11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3">
        <f>IF(tblOrdenes[[#This Row],[fecha_inicio]]="","",TODAY()-tblOrdenes[[#This Row],[fecha_inicio]])</f>
        <v/>
      </c>
      <c r="AB8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1">
        <f>IF(tblOrdenes[[#This Row],[orden]]="","",_xlfn.XLOOKUP(tblOrdenes[[#This Row],[id_operacion]],tblEjecucion[id_operacion],tblEjecucion[precio],0))</f>
        <v/>
      </c>
      <c r="AJ847" s="11">
        <f>IF(tblOrdenes[[#This Row],[orden]]="","",MAX(0,_xlfn.XLOOKUP(tblOrdenes[[#This Row],[id_operacion]],tblEjecucion[id_operacion],tblEjecucion[costo_plan_total],0)-tblOrdenes[[#This Row],[costo_servicio]]))</f>
        <v/>
      </c>
      <c r="AK847" s="11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3">
        <f>IF(tblOrdenes[[#This Row],[fecha_inicio]]="","",TODAY()-tblOrdenes[[#This Row],[fecha_inicio]])</f>
        <v/>
      </c>
      <c r="AB8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1">
        <f>IF(tblOrdenes[[#This Row],[orden]]="","",_xlfn.XLOOKUP(tblOrdenes[[#This Row],[id_operacion]],tblEjecucion[id_operacion],tblEjecucion[precio],0))</f>
        <v/>
      </c>
      <c r="AJ848" s="11">
        <f>IF(tblOrdenes[[#This Row],[orden]]="","",MAX(0,_xlfn.XLOOKUP(tblOrdenes[[#This Row],[id_operacion]],tblEjecucion[id_operacion],tblEjecucion[costo_plan_total],0)-tblOrdenes[[#This Row],[costo_servicio]]))</f>
        <v/>
      </c>
      <c r="AK848" s="11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3">
        <f>IF(tblOrdenes[[#This Row],[fecha_inicio]]="","",TODAY()-tblOrdenes[[#This Row],[fecha_inicio]])</f>
        <v/>
      </c>
      <c r="AB8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1">
        <f>IF(tblOrdenes[[#This Row],[orden]]="","",_xlfn.XLOOKUP(tblOrdenes[[#This Row],[id_operacion]],tblEjecucion[id_operacion],tblEjecucion[precio],0))</f>
        <v/>
      </c>
      <c r="AJ849" s="11">
        <f>IF(tblOrdenes[[#This Row],[orden]]="","",MAX(0,_xlfn.XLOOKUP(tblOrdenes[[#This Row],[id_operacion]],tblEjecucion[id_operacion],tblEjecucion[costo_plan_total],0)-tblOrdenes[[#This Row],[costo_servicio]]))</f>
        <v/>
      </c>
      <c r="AK849" s="11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3">
        <f>IF(tblOrdenes[[#This Row],[fecha_inicio]]="","",TODAY()-tblOrdenes[[#This Row],[fecha_inicio]])</f>
        <v/>
      </c>
      <c r="AB8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1">
        <f>IF(tblOrdenes[[#This Row],[orden]]="","",_xlfn.XLOOKUP(tblOrdenes[[#This Row],[id_operacion]],tblEjecucion[id_operacion],tblEjecucion[precio],0))</f>
        <v/>
      </c>
      <c r="AJ850" s="11">
        <f>IF(tblOrdenes[[#This Row],[orden]]="","",MAX(0,_xlfn.XLOOKUP(tblOrdenes[[#This Row],[id_operacion]],tblEjecucion[id_operacion],tblEjecucion[costo_plan_total],0)-tblOrdenes[[#This Row],[costo_servicio]]))</f>
        <v/>
      </c>
      <c r="AK850" s="11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3">
        <f>IF(tblOrdenes[[#This Row],[fecha_inicio]]="","",TODAY()-tblOrdenes[[#This Row],[fecha_inicio]])</f>
        <v/>
      </c>
      <c r="AB8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1">
        <f>IF(tblOrdenes[[#This Row],[orden]]="","",_xlfn.XLOOKUP(tblOrdenes[[#This Row],[id_operacion]],tblEjecucion[id_operacion],tblEjecucion[precio],0))</f>
        <v/>
      </c>
      <c r="AJ851" s="11">
        <f>IF(tblOrdenes[[#This Row],[orden]]="","",MAX(0,_xlfn.XLOOKUP(tblOrdenes[[#This Row],[id_operacion]],tblEjecucion[id_operacion],tblEjecucion[costo_plan_total],0)-tblOrdenes[[#This Row],[costo_servicio]]))</f>
        <v/>
      </c>
      <c r="AK851" s="11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3">
        <f>IF(tblOrdenes[[#This Row],[fecha_inicio]]="","",TODAY()-tblOrdenes[[#This Row],[fecha_inicio]])</f>
        <v/>
      </c>
      <c r="AB8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1">
        <f>IF(tblOrdenes[[#This Row],[orden]]="","",_xlfn.XLOOKUP(tblOrdenes[[#This Row],[id_operacion]],tblEjecucion[id_operacion],tblEjecucion[precio],0))</f>
        <v/>
      </c>
      <c r="AJ852" s="11">
        <f>IF(tblOrdenes[[#This Row],[orden]]="","",MAX(0,_xlfn.XLOOKUP(tblOrdenes[[#This Row],[id_operacion]],tblEjecucion[id_operacion],tblEjecucion[costo_plan_total],0)-tblOrdenes[[#This Row],[costo_servicio]]))</f>
        <v/>
      </c>
      <c r="AK852" s="11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3">
        <f>IF(tblOrdenes[[#This Row],[fecha_inicio]]="","",TODAY()-tblOrdenes[[#This Row],[fecha_inicio]])</f>
        <v/>
      </c>
      <c r="AB8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1">
        <f>IF(tblOrdenes[[#This Row],[orden]]="","",_xlfn.XLOOKUP(tblOrdenes[[#This Row],[id_operacion]],tblEjecucion[id_operacion],tblEjecucion[precio],0))</f>
        <v/>
      </c>
      <c r="AJ853" s="11">
        <f>IF(tblOrdenes[[#This Row],[orden]]="","",MAX(0,_xlfn.XLOOKUP(tblOrdenes[[#This Row],[id_operacion]],tblEjecucion[id_operacion],tblEjecucion[costo_plan_total],0)-tblOrdenes[[#This Row],[costo_servicio]]))</f>
        <v/>
      </c>
      <c r="AK853" s="11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3">
        <f>IF(tblOrdenes[[#This Row],[fecha_inicio]]="","",TODAY()-tblOrdenes[[#This Row],[fecha_inicio]])</f>
        <v/>
      </c>
      <c r="AB8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1">
        <f>IF(tblOrdenes[[#This Row],[orden]]="","",_xlfn.XLOOKUP(tblOrdenes[[#This Row],[id_operacion]],tblEjecucion[id_operacion],tblEjecucion[precio],0))</f>
        <v/>
      </c>
      <c r="AJ854" s="11">
        <f>IF(tblOrdenes[[#This Row],[orden]]="","",MAX(0,_xlfn.XLOOKUP(tblOrdenes[[#This Row],[id_operacion]],tblEjecucion[id_operacion],tblEjecucion[costo_plan_total],0)-tblOrdenes[[#This Row],[costo_servicio]]))</f>
        <v/>
      </c>
      <c r="AK854" s="11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3">
        <f>IF(tblOrdenes[[#This Row],[fecha_inicio]]="","",TODAY()-tblOrdenes[[#This Row],[fecha_inicio]])</f>
        <v/>
      </c>
      <c r="AB8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1">
        <f>IF(tblOrdenes[[#This Row],[orden]]="","",_xlfn.XLOOKUP(tblOrdenes[[#This Row],[id_operacion]],tblEjecucion[id_operacion],tblEjecucion[precio],0))</f>
        <v/>
      </c>
      <c r="AJ855" s="11">
        <f>IF(tblOrdenes[[#This Row],[orden]]="","",MAX(0,_xlfn.XLOOKUP(tblOrdenes[[#This Row],[id_operacion]],tblEjecucion[id_operacion],tblEjecucion[costo_plan_total],0)-tblOrdenes[[#This Row],[costo_servicio]]))</f>
        <v/>
      </c>
      <c r="AK855" s="11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3">
        <f>IF(tblOrdenes[[#This Row],[fecha_inicio]]="","",TODAY()-tblOrdenes[[#This Row],[fecha_inicio]])</f>
        <v/>
      </c>
      <c r="AB8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1">
        <f>IF(tblOrdenes[[#This Row],[orden]]="","",_xlfn.XLOOKUP(tblOrdenes[[#This Row],[id_operacion]],tblEjecucion[id_operacion],tblEjecucion[precio],0))</f>
        <v/>
      </c>
      <c r="AJ856" s="11">
        <f>IF(tblOrdenes[[#This Row],[orden]]="","",MAX(0,_xlfn.XLOOKUP(tblOrdenes[[#This Row],[id_operacion]],tblEjecucion[id_operacion],tblEjecucion[costo_plan_total],0)-tblOrdenes[[#This Row],[costo_servicio]]))</f>
        <v/>
      </c>
      <c r="AK856" s="11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3">
        <f>IF(tblOrdenes[[#This Row],[fecha_inicio]]="","",TODAY()-tblOrdenes[[#This Row],[fecha_inicio]])</f>
        <v/>
      </c>
      <c r="AB8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1">
        <f>IF(tblOrdenes[[#This Row],[orden]]="","",_xlfn.XLOOKUP(tblOrdenes[[#This Row],[id_operacion]],tblEjecucion[id_operacion],tblEjecucion[precio],0))</f>
        <v/>
      </c>
      <c r="AJ857" s="11">
        <f>IF(tblOrdenes[[#This Row],[orden]]="","",MAX(0,_xlfn.XLOOKUP(tblOrdenes[[#This Row],[id_operacion]],tblEjecucion[id_operacion],tblEjecucion[costo_plan_total],0)-tblOrdenes[[#This Row],[costo_servicio]]))</f>
        <v/>
      </c>
      <c r="AK857" s="11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3">
        <f>IF(tblOrdenes[[#This Row],[fecha_inicio]]="","",TODAY()-tblOrdenes[[#This Row],[fecha_inicio]])</f>
        <v/>
      </c>
      <c r="AB8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1">
        <f>IF(tblOrdenes[[#This Row],[orden]]="","",_xlfn.XLOOKUP(tblOrdenes[[#This Row],[id_operacion]],tblEjecucion[id_operacion],tblEjecucion[precio],0))</f>
        <v/>
      </c>
      <c r="AJ858" s="11">
        <f>IF(tblOrdenes[[#This Row],[orden]]="","",MAX(0,_xlfn.XLOOKUP(tblOrdenes[[#This Row],[id_operacion]],tblEjecucion[id_operacion],tblEjecucion[costo_plan_total],0)-tblOrdenes[[#This Row],[costo_servicio]]))</f>
        <v/>
      </c>
      <c r="AK858" s="11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3">
        <f>IF(tblOrdenes[[#This Row],[fecha_inicio]]="","",TODAY()-tblOrdenes[[#This Row],[fecha_inicio]])</f>
        <v/>
      </c>
      <c r="AB8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1">
        <f>IF(tblOrdenes[[#This Row],[orden]]="","",_xlfn.XLOOKUP(tblOrdenes[[#This Row],[id_operacion]],tblEjecucion[id_operacion],tblEjecucion[precio],0))</f>
        <v/>
      </c>
      <c r="AJ859" s="11">
        <f>IF(tblOrdenes[[#This Row],[orden]]="","",MAX(0,_xlfn.XLOOKUP(tblOrdenes[[#This Row],[id_operacion]],tblEjecucion[id_operacion],tblEjecucion[costo_plan_total],0)-tblOrdenes[[#This Row],[costo_servicio]]))</f>
        <v/>
      </c>
      <c r="AK859" s="11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3">
        <f>IF(tblOrdenes[[#This Row],[fecha_inicio]]="","",TODAY()-tblOrdenes[[#This Row],[fecha_inicio]])</f>
        <v/>
      </c>
      <c r="AB8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1">
        <f>IF(tblOrdenes[[#This Row],[orden]]="","",_xlfn.XLOOKUP(tblOrdenes[[#This Row],[id_operacion]],tblEjecucion[id_operacion],tblEjecucion[precio],0))</f>
        <v/>
      </c>
      <c r="AJ860" s="11">
        <f>IF(tblOrdenes[[#This Row],[orden]]="","",MAX(0,_xlfn.XLOOKUP(tblOrdenes[[#This Row],[id_operacion]],tblEjecucion[id_operacion],tblEjecucion[costo_plan_total],0)-tblOrdenes[[#This Row],[costo_servicio]]))</f>
        <v/>
      </c>
      <c r="AK860" s="11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3">
        <f>IF(tblOrdenes[[#This Row],[fecha_inicio]]="","",TODAY()-tblOrdenes[[#This Row],[fecha_inicio]])</f>
        <v/>
      </c>
      <c r="AB8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1">
        <f>IF(tblOrdenes[[#This Row],[orden]]="","",_xlfn.XLOOKUP(tblOrdenes[[#This Row],[id_operacion]],tblEjecucion[id_operacion],tblEjecucion[precio],0))</f>
        <v/>
      </c>
      <c r="AJ861" s="11">
        <f>IF(tblOrdenes[[#This Row],[orden]]="","",MAX(0,_xlfn.XLOOKUP(tblOrdenes[[#This Row],[id_operacion]],tblEjecucion[id_operacion],tblEjecucion[costo_plan_total],0)-tblOrdenes[[#This Row],[costo_servicio]]))</f>
        <v/>
      </c>
      <c r="AK861" s="11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3">
        <f>IF(tblOrdenes[[#This Row],[fecha_inicio]]="","",TODAY()-tblOrdenes[[#This Row],[fecha_inicio]])</f>
        <v/>
      </c>
      <c r="AB8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1">
        <f>IF(tblOrdenes[[#This Row],[orden]]="","",_xlfn.XLOOKUP(tblOrdenes[[#This Row],[id_operacion]],tblEjecucion[id_operacion],tblEjecucion[precio],0))</f>
        <v/>
      </c>
      <c r="AJ862" s="11">
        <f>IF(tblOrdenes[[#This Row],[orden]]="","",MAX(0,_xlfn.XLOOKUP(tblOrdenes[[#This Row],[id_operacion]],tblEjecucion[id_operacion],tblEjecucion[costo_plan_total],0)-tblOrdenes[[#This Row],[costo_servicio]]))</f>
        <v/>
      </c>
      <c r="AK862" s="11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3">
        <f>IF(tblOrdenes[[#This Row],[fecha_inicio]]="","",TODAY()-tblOrdenes[[#This Row],[fecha_inicio]])</f>
        <v/>
      </c>
      <c r="AB8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1">
        <f>IF(tblOrdenes[[#This Row],[orden]]="","",_xlfn.XLOOKUP(tblOrdenes[[#This Row],[id_operacion]],tblEjecucion[id_operacion],tblEjecucion[precio],0))</f>
        <v/>
      </c>
      <c r="AJ863" s="11">
        <f>IF(tblOrdenes[[#This Row],[orden]]="","",MAX(0,_xlfn.XLOOKUP(tblOrdenes[[#This Row],[id_operacion]],tblEjecucion[id_operacion],tblEjecucion[costo_plan_total],0)-tblOrdenes[[#This Row],[costo_servicio]]))</f>
        <v/>
      </c>
      <c r="AK863" s="11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3">
        <f>IF(tblOrdenes[[#This Row],[fecha_inicio]]="","",TODAY()-tblOrdenes[[#This Row],[fecha_inicio]])</f>
        <v/>
      </c>
      <c r="AB8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1">
        <f>IF(tblOrdenes[[#This Row],[orden]]="","",_xlfn.XLOOKUP(tblOrdenes[[#This Row],[id_operacion]],tblEjecucion[id_operacion],tblEjecucion[precio],0))</f>
        <v/>
      </c>
      <c r="AJ864" s="11">
        <f>IF(tblOrdenes[[#This Row],[orden]]="","",MAX(0,_xlfn.XLOOKUP(tblOrdenes[[#This Row],[id_operacion]],tblEjecucion[id_operacion],tblEjecucion[costo_plan_total],0)-tblOrdenes[[#This Row],[costo_servicio]]))</f>
        <v/>
      </c>
      <c r="AK864" s="11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3">
        <f>IF(tblOrdenes[[#This Row],[fecha_inicio]]="","",TODAY()-tblOrdenes[[#This Row],[fecha_inicio]])</f>
        <v/>
      </c>
      <c r="AB8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1">
        <f>IF(tblOrdenes[[#This Row],[orden]]="","",_xlfn.XLOOKUP(tblOrdenes[[#This Row],[id_operacion]],tblEjecucion[id_operacion],tblEjecucion[precio],0))</f>
        <v/>
      </c>
      <c r="AJ865" s="11">
        <f>IF(tblOrdenes[[#This Row],[orden]]="","",MAX(0,_xlfn.XLOOKUP(tblOrdenes[[#This Row],[id_operacion]],tblEjecucion[id_operacion],tblEjecucion[costo_plan_total],0)-tblOrdenes[[#This Row],[costo_servicio]]))</f>
        <v/>
      </c>
      <c r="AK865" s="11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3">
        <f>IF(tblOrdenes[[#This Row],[fecha_inicio]]="","",TODAY()-tblOrdenes[[#This Row],[fecha_inicio]])</f>
        <v/>
      </c>
      <c r="AB8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1">
        <f>IF(tblOrdenes[[#This Row],[orden]]="","",_xlfn.XLOOKUP(tblOrdenes[[#This Row],[id_operacion]],tblEjecucion[id_operacion],tblEjecucion[precio],0))</f>
        <v/>
      </c>
      <c r="AJ866" s="11">
        <f>IF(tblOrdenes[[#This Row],[orden]]="","",MAX(0,_xlfn.XLOOKUP(tblOrdenes[[#This Row],[id_operacion]],tblEjecucion[id_operacion],tblEjecucion[costo_plan_total],0)-tblOrdenes[[#This Row],[costo_servicio]]))</f>
        <v/>
      </c>
      <c r="AK866" s="11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3">
        <f>IF(tblOrdenes[[#This Row],[fecha_inicio]]="","",TODAY()-tblOrdenes[[#This Row],[fecha_inicio]])</f>
        <v/>
      </c>
      <c r="AB8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1">
        <f>IF(tblOrdenes[[#This Row],[orden]]="","",_xlfn.XLOOKUP(tblOrdenes[[#This Row],[id_operacion]],tblEjecucion[id_operacion],tblEjecucion[precio],0))</f>
        <v/>
      </c>
      <c r="AJ867" s="11">
        <f>IF(tblOrdenes[[#This Row],[orden]]="","",MAX(0,_xlfn.XLOOKUP(tblOrdenes[[#This Row],[id_operacion]],tblEjecucion[id_operacion],tblEjecucion[costo_plan_total],0)-tblOrdenes[[#This Row],[costo_servicio]]))</f>
        <v/>
      </c>
      <c r="AK867" s="11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3">
        <f>IF(tblOrdenes[[#This Row],[fecha_inicio]]="","",TODAY()-tblOrdenes[[#This Row],[fecha_inicio]])</f>
        <v/>
      </c>
      <c r="AB8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1">
        <f>IF(tblOrdenes[[#This Row],[orden]]="","",_xlfn.XLOOKUP(tblOrdenes[[#This Row],[id_operacion]],tblEjecucion[id_operacion],tblEjecucion[precio],0))</f>
        <v/>
      </c>
      <c r="AJ868" s="11">
        <f>IF(tblOrdenes[[#This Row],[orden]]="","",MAX(0,_xlfn.XLOOKUP(tblOrdenes[[#This Row],[id_operacion]],tblEjecucion[id_operacion],tblEjecucion[costo_plan_total],0)-tblOrdenes[[#This Row],[costo_servicio]]))</f>
        <v/>
      </c>
      <c r="AK868" s="11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3">
        <f>IF(tblOrdenes[[#This Row],[fecha_inicio]]="","",TODAY()-tblOrdenes[[#This Row],[fecha_inicio]])</f>
        <v/>
      </c>
      <c r="AB8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1">
        <f>IF(tblOrdenes[[#This Row],[orden]]="","",_xlfn.XLOOKUP(tblOrdenes[[#This Row],[id_operacion]],tblEjecucion[id_operacion],tblEjecucion[precio],0))</f>
        <v/>
      </c>
      <c r="AJ869" s="11">
        <f>IF(tblOrdenes[[#This Row],[orden]]="","",MAX(0,_xlfn.XLOOKUP(tblOrdenes[[#This Row],[id_operacion]],tblEjecucion[id_operacion],tblEjecucion[costo_plan_total],0)-tblOrdenes[[#This Row],[costo_servicio]]))</f>
        <v/>
      </c>
      <c r="AK869" s="11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3">
        <f>IF(tblOrdenes[[#This Row],[fecha_inicio]]="","",TODAY()-tblOrdenes[[#This Row],[fecha_inicio]])</f>
        <v/>
      </c>
      <c r="AB8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1">
        <f>IF(tblOrdenes[[#This Row],[orden]]="","",_xlfn.XLOOKUP(tblOrdenes[[#This Row],[id_operacion]],tblEjecucion[id_operacion],tblEjecucion[precio],0))</f>
        <v/>
      </c>
      <c r="AJ870" s="11">
        <f>IF(tblOrdenes[[#This Row],[orden]]="","",MAX(0,_xlfn.XLOOKUP(tblOrdenes[[#This Row],[id_operacion]],tblEjecucion[id_operacion],tblEjecucion[costo_plan_total],0)-tblOrdenes[[#This Row],[costo_servicio]]))</f>
        <v/>
      </c>
      <c r="AK870" s="11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3">
        <f>IF(tblOrdenes[[#This Row],[fecha_inicio]]="","",TODAY()-tblOrdenes[[#This Row],[fecha_inicio]])</f>
        <v/>
      </c>
      <c r="AB8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1">
        <f>IF(tblOrdenes[[#This Row],[orden]]="","",_xlfn.XLOOKUP(tblOrdenes[[#This Row],[id_operacion]],tblEjecucion[id_operacion],tblEjecucion[precio],0))</f>
        <v/>
      </c>
      <c r="AJ871" s="11">
        <f>IF(tblOrdenes[[#This Row],[orden]]="","",MAX(0,_xlfn.XLOOKUP(tblOrdenes[[#This Row],[id_operacion]],tblEjecucion[id_operacion],tblEjecucion[costo_plan_total],0)-tblOrdenes[[#This Row],[costo_servicio]]))</f>
        <v/>
      </c>
      <c r="AK871" s="11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3">
        <f>IF(tblOrdenes[[#This Row],[fecha_inicio]]="","",TODAY()-tblOrdenes[[#This Row],[fecha_inicio]])</f>
        <v/>
      </c>
      <c r="AB8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1">
        <f>IF(tblOrdenes[[#This Row],[orden]]="","",_xlfn.XLOOKUP(tblOrdenes[[#This Row],[id_operacion]],tblEjecucion[id_operacion],tblEjecucion[precio],0))</f>
        <v/>
      </c>
      <c r="AJ872" s="11">
        <f>IF(tblOrdenes[[#This Row],[orden]]="","",MAX(0,_xlfn.XLOOKUP(tblOrdenes[[#This Row],[id_operacion]],tblEjecucion[id_operacion],tblEjecucion[costo_plan_total],0)-tblOrdenes[[#This Row],[costo_servicio]]))</f>
        <v/>
      </c>
      <c r="AK872" s="11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3">
        <f>IF(tblOrdenes[[#This Row],[fecha_inicio]]="","",TODAY()-tblOrdenes[[#This Row],[fecha_inicio]])</f>
        <v/>
      </c>
      <c r="AB8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1">
        <f>IF(tblOrdenes[[#This Row],[orden]]="","",_xlfn.XLOOKUP(tblOrdenes[[#This Row],[id_operacion]],tblEjecucion[id_operacion],tblEjecucion[precio],0))</f>
        <v/>
      </c>
      <c r="AJ873" s="11">
        <f>IF(tblOrdenes[[#This Row],[orden]]="","",MAX(0,_xlfn.XLOOKUP(tblOrdenes[[#This Row],[id_operacion]],tblEjecucion[id_operacion],tblEjecucion[costo_plan_total],0)-tblOrdenes[[#This Row],[costo_servicio]]))</f>
        <v/>
      </c>
      <c r="AK873" s="11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3">
        <f>IF(tblOrdenes[[#This Row],[fecha_inicio]]="","",TODAY()-tblOrdenes[[#This Row],[fecha_inicio]])</f>
        <v/>
      </c>
      <c r="AB8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1">
        <f>IF(tblOrdenes[[#This Row],[orden]]="","",_xlfn.XLOOKUP(tblOrdenes[[#This Row],[id_operacion]],tblEjecucion[id_operacion],tblEjecucion[precio],0))</f>
        <v/>
      </c>
      <c r="AJ874" s="11">
        <f>IF(tblOrdenes[[#This Row],[orden]]="","",MAX(0,_xlfn.XLOOKUP(tblOrdenes[[#This Row],[id_operacion]],tblEjecucion[id_operacion],tblEjecucion[costo_plan_total],0)-tblOrdenes[[#This Row],[costo_servicio]]))</f>
        <v/>
      </c>
      <c r="AK874" s="11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3">
        <f>IF(tblOrdenes[[#This Row],[fecha_inicio]]="","",TODAY()-tblOrdenes[[#This Row],[fecha_inicio]])</f>
        <v/>
      </c>
      <c r="AB8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1">
        <f>IF(tblOrdenes[[#This Row],[orden]]="","",_xlfn.XLOOKUP(tblOrdenes[[#This Row],[id_operacion]],tblEjecucion[id_operacion],tblEjecucion[precio],0))</f>
        <v/>
      </c>
      <c r="AJ875" s="11">
        <f>IF(tblOrdenes[[#This Row],[orden]]="","",MAX(0,_xlfn.XLOOKUP(tblOrdenes[[#This Row],[id_operacion]],tblEjecucion[id_operacion],tblEjecucion[costo_plan_total],0)-tblOrdenes[[#This Row],[costo_servicio]]))</f>
        <v/>
      </c>
      <c r="AK875" s="11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3">
        <f>IF(tblOrdenes[[#This Row],[fecha_inicio]]="","",TODAY()-tblOrdenes[[#This Row],[fecha_inicio]])</f>
        <v/>
      </c>
      <c r="AB8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1">
        <f>IF(tblOrdenes[[#This Row],[orden]]="","",_xlfn.XLOOKUP(tblOrdenes[[#This Row],[id_operacion]],tblEjecucion[id_operacion],tblEjecucion[precio],0))</f>
        <v/>
      </c>
      <c r="AJ876" s="11">
        <f>IF(tblOrdenes[[#This Row],[orden]]="","",MAX(0,_xlfn.XLOOKUP(tblOrdenes[[#This Row],[id_operacion]],tblEjecucion[id_operacion],tblEjecucion[costo_plan_total],0)-tblOrdenes[[#This Row],[costo_servicio]]))</f>
        <v/>
      </c>
      <c r="AK876" s="11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3">
        <f>IF(tblOrdenes[[#This Row],[fecha_inicio]]="","",TODAY()-tblOrdenes[[#This Row],[fecha_inicio]])</f>
        <v/>
      </c>
      <c r="AB8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1">
        <f>IF(tblOrdenes[[#This Row],[orden]]="","",_xlfn.XLOOKUP(tblOrdenes[[#This Row],[id_operacion]],tblEjecucion[id_operacion],tblEjecucion[precio],0))</f>
        <v/>
      </c>
      <c r="AJ877" s="11">
        <f>IF(tblOrdenes[[#This Row],[orden]]="","",MAX(0,_xlfn.XLOOKUP(tblOrdenes[[#This Row],[id_operacion]],tblEjecucion[id_operacion],tblEjecucion[costo_plan_total],0)-tblOrdenes[[#This Row],[costo_servicio]]))</f>
        <v/>
      </c>
      <c r="AK877" s="11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3">
        <f>IF(tblOrdenes[[#This Row],[fecha_inicio]]="","",TODAY()-tblOrdenes[[#This Row],[fecha_inicio]])</f>
        <v/>
      </c>
      <c r="AB8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1">
        <f>IF(tblOrdenes[[#This Row],[orden]]="","",_xlfn.XLOOKUP(tblOrdenes[[#This Row],[id_operacion]],tblEjecucion[id_operacion],tblEjecucion[precio],0))</f>
        <v/>
      </c>
      <c r="AJ878" s="11">
        <f>IF(tblOrdenes[[#This Row],[orden]]="","",MAX(0,_xlfn.XLOOKUP(tblOrdenes[[#This Row],[id_operacion]],tblEjecucion[id_operacion],tblEjecucion[costo_plan_total],0)-tblOrdenes[[#This Row],[costo_servicio]]))</f>
        <v/>
      </c>
      <c r="AK878" s="11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3">
        <f>IF(tblOrdenes[[#This Row],[fecha_inicio]]="","",TODAY()-tblOrdenes[[#This Row],[fecha_inicio]])</f>
        <v/>
      </c>
      <c r="AB8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1">
        <f>IF(tblOrdenes[[#This Row],[orden]]="","",_xlfn.XLOOKUP(tblOrdenes[[#This Row],[id_operacion]],tblEjecucion[id_operacion],tblEjecucion[precio],0))</f>
        <v/>
      </c>
      <c r="AJ879" s="11">
        <f>IF(tblOrdenes[[#This Row],[orden]]="","",MAX(0,_xlfn.XLOOKUP(tblOrdenes[[#This Row],[id_operacion]],tblEjecucion[id_operacion],tblEjecucion[costo_plan_total],0)-tblOrdenes[[#This Row],[costo_servicio]]))</f>
        <v/>
      </c>
      <c r="AK879" s="11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3">
        <f>IF(tblOrdenes[[#This Row],[fecha_inicio]]="","",TODAY()-tblOrdenes[[#This Row],[fecha_inicio]])</f>
        <v/>
      </c>
      <c r="AB8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1">
        <f>IF(tblOrdenes[[#This Row],[orden]]="","",_xlfn.XLOOKUP(tblOrdenes[[#This Row],[id_operacion]],tblEjecucion[id_operacion],tblEjecucion[precio],0))</f>
        <v/>
      </c>
      <c r="AJ880" s="11">
        <f>IF(tblOrdenes[[#This Row],[orden]]="","",MAX(0,_xlfn.XLOOKUP(tblOrdenes[[#This Row],[id_operacion]],tblEjecucion[id_operacion],tblEjecucion[costo_plan_total],0)-tblOrdenes[[#This Row],[costo_servicio]]))</f>
        <v/>
      </c>
      <c r="AK880" s="11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3">
        <f>IF(tblOrdenes[[#This Row],[fecha_inicio]]="","",TODAY()-tblOrdenes[[#This Row],[fecha_inicio]])</f>
        <v/>
      </c>
      <c r="AB8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1">
        <f>IF(tblOrdenes[[#This Row],[orden]]="","",_xlfn.XLOOKUP(tblOrdenes[[#This Row],[id_operacion]],tblEjecucion[id_operacion],tblEjecucion[precio],0))</f>
        <v/>
      </c>
      <c r="AJ881" s="11">
        <f>IF(tblOrdenes[[#This Row],[orden]]="","",MAX(0,_xlfn.XLOOKUP(tblOrdenes[[#This Row],[id_operacion]],tblEjecucion[id_operacion],tblEjecucion[costo_plan_total],0)-tblOrdenes[[#This Row],[costo_servicio]]))</f>
        <v/>
      </c>
      <c r="AK881" s="11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3">
        <f>IF(tblOrdenes[[#This Row],[fecha_inicio]]="","",TODAY()-tblOrdenes[[#This Row],[fecha_inicio]])</f>
        <v/>
      </c>
      <c r="AB8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1">
        <f>IF(tblOrdenes[[#This Row],[orden]]="","",_xlfn.XLOOKUP(tblOrdenes[[#This Row],[id_operacion]],tblEjecucion[id_operacion],tblEjecucion[precio],0))</f>
        <v/>
      </c>
      <c r="AJ882" s="11">
        <f>IF(tblOrdenes[[#This Row],[orden]]="","",MAX(0,_xlfn.XLOOKUP(tblOrdenes[[#This Row],[id_operacion]],tblEjecucion[id_operacion],tblEjecucion[costo_plan_total],0)-tblOrdenes[[#This Row],[costo_servicio]]))</f>
        <v/>
      </c>
      <c r="AK882" s="11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3">
        <f>IF(tblOrdenes[[#This Row],[fecha_inicio]]="","",TODAY()-tblOrdenes[[#This Row],[fecha_inicio]])</f>
        <v/>
      </c>
      <c r="AB8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1">
        <f>IF(tblOrdenes[[#This Row],[orden]]="","",_xlfn.XLOOKUP(tblOrdenes[[#This Row],[id_operacion]],tblEjecucion[id_operacion],tblEjecucion[precio],0))</f>
        <v/>
      </c>
      <c r="AJ883" s="11">
        <f>IF(tblOrdenes[[#This Row],[orden]]="","",MAX(0,_xlfn.XLOOKUP(tblOrdenes[[#This Row],[id_operacion]],tblEjecucion[id_operacion],tblEjecucion[costo_plan_total],0)-tblOrdenes[[#This Row],[costo_servicio]]))</f>
        <v/>
      </c>
      <c r="AK883" s="11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3">
        <f>IF(tblOrdenes[[#This Row],[fecha_inicio]]="","",TODAY()-tblOrdenes[[#This Row],[fecha_inicio]])</f>
        <v/>
      </c>
      <c r="AB8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1">
        <f>IF(tblOrdenes[[#This Row],[orden]]="","",_xlfn.XLOOKUP(tblOrdenes[[#This Row],[id_operacion]],tblEjecucion[id_operacion],tblEjecucion[precio],0))</f>
        <v/>
      </c>
      <c r="AJ884" s="11">
        <f>IF(tblOrdenes[[#This Row],[orden]]="","",MAX(0,_xlfn.XLOOKUP(tblOrdenes[[#This Row],[id_operacion]],tblEjecucion[id_operacion],tblEjecucion[costo_plan_total],0)-tblOrdenes[[#This Row],[costo_servicio]]))</f>
        <v/>
      </c>
      <c r="AK884" s="11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3">
        <f>IF(tblOrdenes[[#This Row],[fecha_inicio]]="","",TODAY()-tblOrdenes[[#This Row],[fecha_inicio]])</f>
        <v/>
      </c>
      <c r="AB8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1">
        <f>IF(tblOrdenes[[#This Row],[orden]]="","",_xlfn.XLOOKUP(tblOrdenes[[#This Row],[id_operacion]],tblEjecucion[id_operacion],tblEjecucion[precio],0))</f>
        <v/>
      </c>
      <c r="AJ885" s="11">
        <f>IF(tblOrdenes[[#This Row],[orden]]="","",MAX(0,_xlfn.XLOOKUP(tblOrdenes[[#This Row],[id_operacion]],tblEjecucion[id_operacion],tblEjecucion[costo_plan_total],0)-tblOrdenes[[#This Row],[costo_servicio]]))</f>
        <v/>
      </c>
      <c r="AK885" s="11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3">
        <f>IF(tblOrdenes[[#This Row],[fecha_inicio]]="","",TODAY()-tblOrdenes[[#This Row],[fecha_inicio]])</f>
        <v/>
      </c>
      <c r="AB8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1">
        <f>IF(tblOrdenes[[#This Row],[orden]]="","",_xlfn.XLOOKUP(tblOrdenes[[#This Row],[id_operacion]],tblEjecucion[id_operacion],tblEjecucion[precio],0))</f>
        <v/>
      </c>
      <c r="AJ886" s="11">
        <f>IF(tblOrdenes[[#This Row],[orden]]="","",MAX(0,_xlfn.XLOOKUP(tblOrdenes[[#This Row],[id_operacion]],tblEjecucion[id_operacion],tblEjecucion[costo_plan_total],0)-tblOrdenes[[#This Row],[costo_servicio]]))</f>
        <v/>
      </c>
      <c r="AK886" s="11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3">
        <f>IF(tblOrdenes[[#This Row],[fecha_inicio]]="","",TODAY()-tblOrdenes[[#This Row],[fecha_inicio]])</f>
        <v/>
      </c>
      <c r="AB8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1">
        <f>IF(tblOrdenes[[#This Row],[orden]]="","",_xlfn.XLOOKUP(tblOrdenes[[#This Row],[id_operacion]],tblEjecucion[id_operacion],tblEjecucion[precio],0))</f>
        <v/>
      </c>
      <c r="AJ887" s="11">
        <f>IF(tblOrdenes[[#This Row],[orden]]="","",MAX(0,_xlfn.XLOOKUP(tblOrdenes[[#This Row],[id_operacion]],tblEjecucion[id_operacion],tblEjecucion[costo_plan_total],0)-tblOrdenes[[#This Row],[costo_servicio]]))</f>
        <v/>
      </c>
      <c r="AK887" s="11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3">
        <f>IF(tblOrdenes[[#This Row],[fecha_inicio]]="","",TODAY()-tblOrdenes[[#This Row],[fecha_inicio]])</f>
        <v/>
      </c>
      <c r="AB8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1">
        <f>IF(tblOrdenes[[#This Row],[orden]]="","",_xlfn.XLOOKUP(tblOrdenes[[#This Row],[id_operacion]],tblEjecucion[id_operacion],tblEjecucion[precio],0))</f>
        <v/>
      </c>
      <c r="AJ888" s="11">
        <f>IF(tblOrdenes[[#This Row],[orden]]="","",MAX(0,_xlfn.XLOOKUP(tblOrdenes[[#This Row],[id_operacion]],tblEjecucion[id_operacion],tblEjecucion[costo_plan_total],0)-tblOrdenes[[#This Row],[costo_servicio]]))</f>
        <v/>
      </c>
      <c r="AK888" s="11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3">
        <f>IF(tblOrdenes[[#This Row],[fecha_inicio]]="","",TODAY()-tblOrdenes[[#This Row],[fecha_inicio]])</f>
        <v/>
      </c>
      <c r="AB8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1">
        <f>IF(tblOrdenes[[#This Row],[orden]]="","",_xlfn.XLOOKUP(tblOrdenes[[#This Row],[id_operacion]],tblEjecucion[id_operacion],tblEjecucion[precio],0))</f>
        <v/>
      </c>
      <c r="AJ889" s="11">
        <f>IF(tblOrdenes[[#This Row],[orden]]="","",MAX(0,_xlfn.XLOOKUP(tblOrdenes[[#This Row],[id_operacion]],tblEjecucion[id_operacion],tblEjecucion[costo_plan_total],0)-tblOrdenes[[#This Row],[costo_servicio]]))</f>
        <v/>
      </c>
      <c r="AK889" s="11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3">
        <f>IF(tblOrdenes[[#This Row],[fecha_inicio]]="","",TODAY()-tblOrdenes[[#This Row],[fecha_inicio]])</f>
        <v/>
      </c>
      <c r="AB8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1">
        <f>IF(tblOrdenes[[#This Row],[orden]]="","",_xlfn.XLOOKUP(tblOrdenes[[#This Row],[id_operacion]],tblEjecucion[id_operacion],tblEjecucion[precio],0))</f>
        <v/>
      </c>
      <c r="AJ890" s="11">
        <f>IF(tblOrdenes[[#This Row],[orden]]="","",MAX(0,_xlfn.XLOOKUP(tblOrdenes[[#This Row],[id_operacion]],tblEjecucion[id_operacion],tblEjecucion[costo_plan_total],0)-tblOrdenes[[#This Row],[costo_servicio]]))</f>
        <v/>
      </c>
      <c r="AK890" s="11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3">
        <f>IF(tblOrdenes[[#This Row],[fecha_inicio]]="","",TODAY()-tblOrdenes[[#This Row],[fecha_inicio]])</f>
        <v/>
      </c>
      <c r="AB8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1">
        <f>IF(tblOrdenes[[#This Row],[orden]]="","",_xlfn.XLOOKUP(tblOrdenes[[#This Row],[id_operacion]],tblEjecucion[id_operacion],tblEjecucion[precio],0))</f>
        <v/>
      </c>
      <c r="AJ891" s="11">
        <f>IF(tblOrdenes[[#This Row],[orden]]="","",MAX(0,_xlfn.XLOOKUP(tblOrdenes[[#This Row],[id_operacion]],tblEjecucion[id_operacion],tblEjecucion[costo_plan_total],0)-tblOrdenes[[#This Row],[costo_servicio]]))</f>
        <v/>
      </c>
      <c r="AK891" s="11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3">
        <f>IF(tblOrdenes[[#This Row],[fecha_inicio]]="","",TODAY()-tblOrdenes[[#This Row],[fecha_inicio]])</f>
        <v/>
      </c>
      <c r="AB8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1">
        <f>IF(tblOrdenes[[#This Row],[orden]]="","",_xlfn.XLOOKUP(tblOrdenes[[#This Row],[id_operacion]],tblEjecucion[id_operacion],tblEjecucion[precio],0))</f>
        <v/>
      </c>
      <c r="AJ892" s="11">
        <f>IF(tblOrdenes[[#This Row],[orden]]="","",MAX(0,_xlfn.XLOOKUP(tblOrdenes[[#This Row],[id_operacion]],tblEjecucion[id_operacion],tblEjecucion[costo_plan_total],0)-tblOrdenes[[#This Row],[costo_servicio]]))</f>
        <v/>
      </c>
      <c r="AK892" s="11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3">
        <f>IF(tblOrdenes[[#This Row],[fecha_inicio]]="","",TODAY()-tblOrdenes[[#This Row],[fecha_inicio]])</f>
        <v/>
      </c>
      <c r="AB8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1">
        <f>IF(tblOrdenes[[#This Row],[orden]]="","",_xlfn.XLOOKUP(tblOrdenes[[#This Row],[id_operacion]],tblEjecucion[id_operacion],tblEjecucion[precio],0))</f>
        <v/>
      </c>
      <c r="AJ893" s="11">
        <f>IF(tblOrdenes[[#This Row],[orden]]="","",MAX(0,_xlfn.XLOOKUP(tblOrdenes[[#This Row],[id_operacion]],tblEjecucion[id_operacion],tblEjecucion[costo_plan_total],0)-tblOrdenes[[#This Row],[costo_servicio]]))</f>
        <v/>
      </c>
      <c r="AK893" s="11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3">
        <f>IF(tblOrdenes[[#This Row],[fecha_inicio]]="","",TODAY()-tblOrdenes[[#This Row],[fecha_inicio]])</f>
        <v/>
      </c>
      <c r="AB8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1">
        <f>IF(tblOrdenes[[#This Row],[orden]]="","",_xlfn.XLOOKUP(tblOrdenes[[#This Row],[id_operacion]],tblEjecucion[id_operacion],tblEjecucion[precio],0))</f>
        <v/>
      </c>
      <c r="AJ894" s="11">
        <f>IF(tblOrdenes[[#This Row],[orden]]="","",MAX(0,_xlfn.XLOOKUP(tblOrdenes[[#This Row],[id_operacion]],tblEjecucion[id_operacion],tblEjecucion[costo_plan_total],0)-tblOrdenes[[#This Row],[costo_servicio]]))</f>
        <v/>
      </c>
      <c r="AK894" s="11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3">
        <f>IF(tblOrdenes[[#This Row],[fecha_inicio]]="","",TODAY()-tblOrdenes[[#This Row],[fecha_inicio]])</f>
        <v/>
      </c>
      <c r="AB8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1">
        <f>IF(tblOrdenes[[#This Row],[orden]]="","",_xlfn.XLOOKUP(tblOrdenes[[#This Row],[id_operacion]],tblEjecucion[id_operacion],tblEjecucion[precio],0))</f>
        <v/>
      </c>
      <c r="AJ895" s="11">
        <f>IF(tblOrdenes[[#This Row],[orden]]="","",MAX(0,_xlfn.XLOOKUP(tblOrdenes[[#This Row],[id_operacion]],tblEjecucion[id_operacion],tblEjecucion[costo_plan_total],0)-tblOrdenes[[#This Row],[costo_servicio]]))</f>
        <v/>
      </c>
      <c r="AK895" s="11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3">
        <f>IF(tblOrdenes[[#This Row],[fecha_inicio]]="","",TODAY()-tblOrdenes[[#This Row],[fecha_inicio]])</f>
        <v/>
      </c>
      <c r="AB8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1">
        <f>IF(tblOrdenes[[#This Row],[orden]]="","",_xlfn.XLOOKUP(tblOrdenes[[#This Row],[id_operacion]],tblEjecucion[id_operacion],tblEjecucion[precio],0))</f>
        <v/>
      </c>
      <c r="AJ896" s="11">
        <f>IF(tblOrdenes[[#This Row],[orden]]="","",MAX(0,_xlfn.XLOOKUP(tblOrdenes[[#This Row],[id_operacion]],tblEjecucion[id_operacion],tblEjecucion[costo_plan_total],0)-tblOrdenes[[#This Row],[costo_servicio]]))</f>
        <v/>
      </c>
      <c r="AK896" s="11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3">
        <f>IF(tblOrdenes[[#This Row],[fecha_inicio]]="","",TODAY()-tblOrdenes[[#This Row],[fecha_inicio]])</f>
        <v/>
      </c>
      <c r="AB8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1">
        <f>IF(tblOrdenes[[#This Row],[orden]]="","",_xlfn.XLOOKUP(tblOrdenes[[#This Row],[id_operacion]],tblEjecucion[id_operacion],tblEjecucion[precio],0))</f>
        <v/>
      </c>
      <c r="AJ897" s="11">
        <f>IF(tblOrdenes[[#This Row],[orden]]="","",MAX(0,_xlfn.XLOOKUP(tblOrdenes[[#This Row],[id_operacion]],tblEjecucion[id_operacion],tblEjecucion[costo_plan_total],0)-tblOrdenes[[#This Row],[costo_servicio]]))</f>
        <v/>
      </c>
      <c r="AK897" s="11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3">
        <f>IF(tblOrdenes[[#This Row],[fecha_inicio]]="","",TODAY()-tblOrdenes[[#This Row],[fecha_inicio]])</f>
        <v/>
      </c>
      <c r="AB8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1">
        <f>IF(tblOrdenes[[#This Row],[orden]]="","",_xlfn.XLOOKUP(tblOrdenes[[#This Row],[id_operacion]],tblEjecucion[id_operacion],tblEjecucion[precio],0))</f>
        <v/>
      </c>
      <c r="AJ898" s="11">
        <f>IF(tblOrdenes[[#This Row],[orden]]="","",MAX(0,_xlfn.XLOOKUP(tblOrdenes[[#This Row],[id_operacion]],tblEjecucion[id_operacion],tblEjecucion[costo_plan_total],0)-tblOrdenes[[#This Row],[costo_servicio]]))</f>
        <v/>
      </c>
      <c r="AK898" s="11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3">
        <f>IF(tblOrdenes[[#This Row],[fecha_inicio]]="","",TODAY()-tblOrdenes[[#This Row],[fecha_inicio]])</f>
        <v/>
      </c>
      <c r="AB8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1">
        <f>IF(tblOrdenes[[#This Row],[orden]]="","",_xlfn.XLOOKUP(tblOrdenes[[#This Row],[id_operacion]],tblEjecucion[id_operacion],tblEjecucion[precio],0))</f>
        <v/>
      </c>
      <c r="AJ899" s="11">
        <f>IF(tblOrdenes[[#This Row],[orden]]="","",MAX(0,_xlfn.XLOOKUP(tblOrdenes[[#This Row],[id_operacion]],tblEjecucion[id_operacion],tblEjecucion[costo_plan_total],0)-tblOrdenes[[#This Row],[costo_servicio]]))</f>
        <v/>
      </c>
      <c r="AK899" s="11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3">
        <f>IF(tblOrdenes[[#This Row],[fecha_inicio]]="","",TODAY()-tblOrdenes[[#This Row],[fecha_inicio]])</f>
        <v/>
      </c>
      <c r="AB9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1">
        <f>IF(tblOrdenes[[#This Row],[orden]]="","",_xlfn.XLOOKUP(tblOrdenes[[#This Row],[id_operacion]],tblEjecucion[id_operacion],tblEjecucion[precio],0))</f>
        <v/>
      </c>
      <c r="AJ900" s="11">
        <f>IF(tblOrdenes[[#This Row],[orden]]="","",MAX(0,_xlfn.XLOOKUP(tblOrdenes[[#This Row],[id_operacion]],tblEjecucion[id_operacion],tblEjecucion[costo_plan_total],0)-tblOrdenes[[#This Row],[costo_servicio]]))</f>
        <v/>
      </c>
      <c r="AK900" s="11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3">
        <f>IF(tblOrdenes[[#This Row],[fecha_inicio]]="","",TODAY()-tblOrdenes[[#This Row],[fecha_inicio]])</f>
        <v/>
      </c>
      <c r="AB9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1">
        <f>IF(tblOrdenes[[#This Row],[orden]]="","",_xlfn.XLOOKUP(tblOrdenes[[#This Row],[id_operacion]],tblEjecucion[id_operacion],tblEjecucion[precio],0))</f>
        <v/>
      </c>
      <c r="AJ901" s="11">
        <f>IF(tblOrdenes[[#This Row],[orden]]="","",MAX(0,_xlfn.XLOOKUP(tblOrdenes[[#This Row],[id_operacion]],tblEjecucion[id_operacion],tblEjecucion[costo_plan_total],0)-tblOrdenes[[#This Row],[costo_servicio]]))</f>
        <v/>
      </c>
      <c r="AK901" s="11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3">
        <f>IF(tblOrdenes[[#This Row],[fecha_inicio]]="","",TODAY()-tblOrdenes[[#This Row],[fecha_inicio]])</f>
        <v/>
      </c>
      <c r="AB9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1">
        <f>IF(tblOrdenes[[#This Row],[orden]]="","",_xlfn.XLOOKUP(tblOrdenes[[#This Row],[id_operacion]],tblEjecucion[id_operacion],tblEjecucion[precio],0))</f>
        <v/>
      </c>
      <c r="AJ902" s="11">
        <f>IF(tblOrdenes[[#This Row],[orden]]="","",MAX(0,_xlfn.XLOOKUP(tblOrdenes[[#This Row],[id_operacion]],tblEjecucion[id_operacion],tblEjecucion[costo_plan_total],0)-tblOrdenes[[#This Row],[costo_servicio]]))</f>
        <v/>
      </c>
      <c r="AK902" s="11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3">
        <f>IF(tblOrdenes[[#This Row],[fecha_inicio]]="","",TODAY()-tblOrdenes[[#This Row],[fecha_inicio]])</f>
        <v/>
      </c>
      <c r="AB9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1">
        <f>IF(tblOrdenes[[#This Row],[orden]]="","",_xlfn.XLOOKUP(tblOrdenes[[#This Row],[id_operacion]],tblEjecucion[id_operacion],tblEjecucion[precio],0))</f>
        <v/>
      </c>
      <c r="AJ903" s="11">
        <f>IF(tblOrdenes[[#This Row],[orden]]="","",MAX(0,_xlfn.XLOOKUP(tblOrdenes[[#This Row],[id_operacion]],tblEjecucion[id_operacion],tblEjecucion[costo_plan_total],0)-tblOrdenes[[#This Row],[costo_servicio]]))</f>
        <v/>
      </c>
      <c r="AK903" s="11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3">
        <f>IF(tblOrdenes[[#This Row],[fecha_inicio]]="","",TODAY()-tblOrdenes[[#This Row],[fecha_inicio]])</f>
        <v/>
      </c>
      <c r="AB9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1">
        <f>IF(tblOrdenes[[#This Row],[orden]]="","",_xlfn.XLOOKUP(tblOrdenes[[#This Row],[id_operacion]],tblEjecucion[id_operacion],tblEjecucion[precio],0))</f>
        <v/>
      </c>
      <c r="AJ904" s="11">
        <f>IF(tblOrdenes[[#This Row],[orden]]="","",MAX(0,_xlfn.XLOOKUP(tblOrdenes[[#This Row],[id_operacion]],tblEjecucion[id_operacion],tblEjecucion[costo_plan_total],0)-tblOrdenes[[#This Row],[costo_servicio]]))</f>
        <v/>
      </c>
      <c r="AK904" s="11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3">
        <f>IF(tblOrdenes[[#This Row],[fecha_inicio]]="","",TODAY()-tblOrdenes[[#This Row],[fecha_inicio]])</f>
        <v/>
      </c>
      <c r="AB9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1">
        <f>IF(tblOrdenes[[#This Row],[orden]]="","",_xlfn.XLOOKUP(tblOrdenes[[#This Row],[id_operacion]],tblEjecucion[id_operacion],tblEjecucion[precio],0))</f>
        <v/>
      </c>
      <c r="AJ905" s="11">
        <f>IF(tblOrdenes[[#This Row],[orden]]="","",MAX(0,_xlfn.XLOOKUP(tblOrdenes[[#This Row],[id_operacion]],tblEjecucion[id_operacion],tblEjecucion[costo_plan_total],0)-tblOrdenes[[#This Row],[costo_servicio]]))</f>
        <v/>
      </c>
      <c r="AK905" s="11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3">
        <f>IF(tblOrdenes[[#This Row],[fecha_inicio]]="","",TODAY()-tblOrdenes[[#This Row],[fecha_inicio]])</f>
        <v/>
      </c>
      <c r="AB9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1">
        <f>IF(tblOrdenes[[#This Row],[orden]]="","",_xlfn.XLOOKUP(tblOrdenes[[#This Row],[id_operacion]],tblEjecucion[id_operacion],tblEjecucion[precio],0))</f>
        <v/>
      </c>
      <c r="AJ906" s="11">
        <f>IF(tblOrdenes[[#This Row],[orden]]="","",MAX(0,_xlfn.XLOOKUP(tblOrdenes[[#This Row],[id_operacion]],tblEjecucion[id_operacion],tblEjecucion[costo_plan_total],0)-tblOrdenes[[#This Row],[costo_servicio]]))</f>
        <v/>
      </c>
      <c r="AK906" s="11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3">
        <f>IF(tblOrdenes[[#This Row],[fecha_inicio]]="","",TODAY()-tblOrdenes[[#This Row],[fecha_inicio]])</f>
        <v/>
      </c>
      <c r="AB9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1">
        <f>IF(tblOrdenes[[#This Row],[orden]]="","",_xlfn.XLOOKUP(tblOrdenes[[#This Row],[id_operacion]],tblEjecucion[id_operacion],tblEjecucion[precio],0))</f>
        <v/>
      </c>
      <c r="AJ907" s="11">
        <f>IF(tblOrdenes[[#This Row],[orden]]="","",MAX(0,_xlfn.XLOOKUP(tblOrdenes[[#This Row],[id_operacion]],tblEjecucion[id_operacion],tblEjecucion[costo_plan_total],0)-tblOrdenes[[#This Row],[costo_servicio]]))</f>
        <v/>
      </c>
      <c r="AK907" s="11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3">
        <f>IF(tblOrdenes[[#This Row],[fecha_inicio]]="","",TODAY()-tblOrdenes[[#This Row],[fecha_inicio]])</f>
        <v/>
      </c>
      <c r="AB9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1">
        <f>IF(tblOrdenes[[#This Row],[orden]]="","",_xlfn.XLOOKUP(tblOrdenes[[#This Row],[id_operacion]],tblEjecucion[id_operacion],tblEjecucion[precio],0))</f>
        <v/>
      </c>
      <c r="AJ908" s="11">
        <f>IF(tblOrdenes[[#This Row],[orden]]="","",MAX(0,_xlfn.XLOOKUP(tblOrdenes[[#This Row],[id_operacion]],tblEjecucion[id_operacion],tblEjecucion[costo_plan_total],0)-tblOrdenes[[#This Row],[costo_servicio]]))</f>
        <v/>
      </c>
      <c r="AK908" s="11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3">
        <f>IF(tblOrdenes[[#This Row],[fecha_inicio]]="","",TODAY()-tblOrdenes[[#This Row],[fecha_inicio]])</f>
        <v/>
      </c>
      <c r="AB9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1">
        <f>IF(tblOrdenes[[#This Row],[orden]]="","",_xlfn.XLOOKUP(tblOrdenes[[#This Row],[id_operacion]],tblEjecucion[id_operacion],tblEjecucion[precio],0))</f>
        <v/>
      </c>
      <c r="AJ909" s="11">
        <f>IF(tblOrdenes[[#This Row],[orden]]="","",MAX(0,_xlfn.XLOOKUP(tblOrdenes[[#This Row],[id_operacion]],tblEjecucion[id_operacion],tblEjecucion[costo_plan_total],0)-tblOrdenes[[#This Row],[costo_servicio]]))</f>
        <v/>
      </c>
      <c r="AK909" s="11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3">
        <f>IF(tblOrdenes[[#This Row],[fecha_inicio]]="","",TODAY()-tblOrdenes[[#This Row],[fecha_inicio]])</f>
        <v/>
      </c>
      <c r="AB9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1">
        <f>IF(tblOrdenes[[#This Row],[orden]]="","",_xlfn.XLOOKUP(tblOrdenes[[#This Row],[id_operacion]],tblEjecucion[id_operacion],tblEjecucion[precio],0))</f>
        <v/>
      </c>
      <c r="AJ910" s="11">
        <f>IF(tblOrdenes[[#This Row],[orden]]="","",MAX(0,_xlfn.XLOOKUP(tblOrdenes[[#This Row],[id_operacion]],tblEjecucion[id_operacion],tblEjecucion[costo_plan_total],0)-tblOrdenes[[#This Row],[costo_servicio]]))</f>
        <v/>
      </c>
      <c r="AK910" s="11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3">
        <f>IF(tblOrdenes[[#This Row],[fecha_inicio]]="","",TODAY()-tblOrdenes[[#This Row],[fecha_inicio]])</f>
        <v/>
      </c>
      <c r="AB9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1">
        <f>IF(tblOrdenes[[#This Row],[orden]]="","",_xlfn.XLOOKUP(tblOrdenes[[#This Row],[id_operacion]],tblEjecucion[id_operacion],tblEjecucion[precio],0))</f>
        <v/>
      </c>
      <c r="AJ911" s="11">
        <f>IF(tblOrdenes[[#This Row],[orden]]="","",MAX(0,_xlfn.XLOOKUP(tblOrdenes[[#This Row],[id_operacion]],tblEjecucion[id_operacion],tblEjecucion[costo_plan_total],0)-tblOrdenes[[#This Row],[costo_servicio]]))</f>
        <v/>
      </c>
      <c r="AK911" s="11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3">
        <f>IF(tblOrdenes[[#This Row],[fecha_inicio]]="","",TODAY()-tblOrdenes[[#This Row],[fecha_inicio]])</f>
        <v/>
      </c>
      <c r="AB9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1">
        <f>IF(tblOrdenes[[#This Row],[orden]]="","",_xlfn.XLOOKUP(tblOrdenes[[#This Row],[id_operacion]],tblEjecucion[id_operacion],tblEjecucion[precio],0))</f>
        <v/>
      </c>
      <c r="AJ912" s="11">
        <f>IF(tblOrdenes[[#This Row],[orden]]="","",MAX(0,_xlfn.XLOOKUP(tblOrdenes[[#This Row],[id_operacion]],tblEjecucion[id_operacion],tblEjecucion[costo_plan_total],0)-tblOrdenes[[#This Row],[costo_servicio]]))</f>
        <v/>
      </c>
      <c r="AK912" s="11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3">
        <f>IF(tblOrdenes[[#This Row],[fecha_inicio]]="","",TODAY()-tblOrdenes[[#This Row],[fecha_inicio]])</f>
        <v/>
      </c>
      <c r="AB9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1">
        <f>IF(tblOrdenes[[#This Row],[orden]]="","",_xlfn.XLOOKUP(tblOrdenes[[#This Row],[id_operacion]],tblEjecucion[id_operacion],tblEjecucion[precio],0))</f>
        <v/>
      </c>
      <c r="AJ913" s="11">
        <f>IF(tblOrdenes[[#This Row],[orden]]="","",MAX(0,_xlfn.XLOOKUP(tblOrdenes[[#This Row],[id_operacion]],tblEjecucion[id_operacion],tblEjecucion[costo_plan_total],0)-tblOrdenes[[#This Row],[costo_servicio]]))</f>
        <v/>
      </c>
      <c r="AK913" s="11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3">
        <f>IF(tblOrdenes[[#This Row],[fecha_inicio]]="","",TODAY()-tblOrdenes[[#This Row],[fecha_inicio]])</f>
        <v/>
      </c>
      <c r="AB9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1">
        <f>IF(tblOrdenes[[#This Row],[orden]]="","",_xlfn.XLOOKUP(tblOrdenes[[#This Row],[id_operacion]],tblEjecucion[id_operacion],tblEjecucion[precio],0))</f>
        <v/>
      </c>
      <c r="AJ914" s="11">
        <f>IF(tblOrdenes[[#This Row],[orden]]="","",MAX(0,_xlfn.XLOOKUP(tblOrdenes[[#This Row],[id_operacion]],tblEjecucion[id_operacion],tblEjecucion[costo_plan_total],0)-tblOrdenes[[#This Row],[costo_servicio]]))</f>
        <v/>
      </c>
      <c r="AK914" s="11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3">
        <f>IF(tblOrdenes[[#This Row],[fecha_inicio]]="","",TODAY()-tblOrdenes[[#This Row],[fecha_inicio]])</f>
        <v/>
      </c>
      <c r="AB9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1">
        <f>IF(tblOrdenes[[#This Row],[orden]]="","",_xlfn.XLOOKUP(tblOrdenes[[#This Row],[id_operacion]],tblEjecucion[id_operacion],tblEjecucion[precio],0))</f>
        <v/>
      </c>
      <c r="AJ915" s="11">
        <f>IF(tblOrdenes[[#This Row],[orden]]="","",MAX(0,_xlfn.XLOOKUP(tblOrdenes[[#This Row],[id_operacion]],tblEjecucion[id_operacion],tblEjecucion[costo_plan_total],0)-tblOrdenes[[#This Row],[costo_servicio]]))</f>
        <v/>
      </c>
      <c r="AK915" s="11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3">
        <f>IF(tblOrdenes[[#This Row],[fecha_inicio]]="","",TODAY()-tblOrdenes[[#This Row],[fecha_inicio]])</f>
        <v/>
      </c>
      <c r="AB9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1">
        <f>IF(tblOrdenes[[#This Row],[orden]]="","",_xlfn.XLOOKUP(tblOrdenes[[#This Row],[id_operacion]],tblEjecucion[id_operacion],tblEjecucion[precio],0))</f>
        <v/>
      </c>
      <c r="AJ916" s="11">
        <f>IF(tblOrdenes[[#This Row],[orden]]="","",MAX(0,_xlfn.XLOOKUP(tblOrdenes[[#This Row],[id_operacion]],tblEjecucion[id_operacion],tblEjecucion[costo_plan_total],0)-tblOrdenes[[#This Row],[costo_servicio]]))</f>
        <v/>
      </c>
      <c r="AK916" s="11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3">
        <f>IF(tblOrdenes[[#This Row],[fecha_inicio]]="","",TODAY()-tblOrdenes[[#This Row],[fecha_inicio]])</f>
        <v/>
      </c>
      <c r="AB9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1">
        <f>IF(tblOrdenes[[#This Row],[orden]]="","",_xlfn.XLOOKUP(tblOrdenes[[#This Row],[id_operacion]],tblEjecucion[id_operacion],tblEjecucion[precio],0))</f>
        <v/>
      </c>
      <c r="AJ917" s="11">
        <f>IF(tblOrdenes[[#This Row],[orden]]="","",MAX(0,_xlfn.XLOOKUP(tblOrdenes[[#This Row],[id_operacion]],tblEjecucion[id_operacion],tblEjecucion[costo_plan_total],0)-tblOrdenes[[#This Row],[costo_servicio]]))</f>
        <v/>
      </c>
      <c r="AK917" s="11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3">
        <f>IF(tblOrdenes[[#This Row],[fecha_inicio]]="","",TODAY()-tblOrdenes[[#This Row],[fecha_inicio]])</f>
        <v/>
      </c>
      <c r="AB9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1">
        <f>IF(tblOrdenes[[#This Row],[orden]]="","",_xlfn.XLOOKUP(tblOrdenes[[#This Row],[id_operacion]],tblEjecucion[id_operacion],tblEjecucion[precio],0))</f>
        <v/>
      </c>
      <c r="AJ918" s="11">
        <f>IF(tblOrdenes[[#This Row],[orden]]="","",MAX(0,_xlfn.XLOOKUP(tblOrdenes[[#This Row],[id_operacion]],tblEjecucion[id_operacion],tblEjecucion[costo_plan_total],0)-tblOrdenes[[#This Row],[costo_servicio]]))</f>
        <v/>
      </c>
      <c r="AK918" s="11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3">
        <f>IF(tblOrdenes[[#This Row],[fecha_inicio]]="","",TODAY()-tblOrdenes[[#This Row],[fecha_inicio]])</f>
        <v/>
      </c>
      <c r="AB9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1">
        <f>IF(tblOrdenes[[#This Row],[orden]]="","",_xlfn.XLOOKUP(tblOrdenes[[#This Row],[id_operacion]],tblEjecucion[id_operacion],tblEjecucion[precio],0))</f>
        <v/>
      </c>
      <c r="AJ919" s="11">
        <f>IF(tblOrdenes[[#This Row],[orden]]="","",MAX(0,_xlfn.XLOOKUP(tblOrdenes[[#This Row],[id_operacion]],tblEjecucion[id_operacion],tblEjecucion[costo_plan_total],0)-tblOrdenes[[#This Row],[costo_servicio]]))</f>
        <v/>
      </c>
      <c r="AK919" s="11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3">
        <f>IF(tblOrdenes[[#This Row],[fecha_inicio]]="","",TODAY()-tblOrdenes[[#This Row],[fecha_inicio]])</f>
        <v/>
      </c>
      <c r="AB9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1">
        <f>IF(tblOrdenes[[#This Row],[orden]]="","",_xlfn.XLOOKUP(tblOrdenes[[#This Row],[id_operacion]],tblEjecucion[id_operacion],tblEjecucion[precio],0))</f>
        <v/>
      </c>
      <c r="AJ920" s="11">
        <f>IF(tblOrdenes[[#This Row],[orden]]="","",MAX(0,_xlfn.XLOOKUP(tblOrdenes[[#This Row],[id_operacion]],tblEjecucion[id_operacion],tblEjecucion[costo_plan_total],0)-tblOrdenes[[#This Row],[costo_servicio]]))</f>
        <v/>
      </c>
      <c r="AK920" s="11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3">
        <f>IF(tblOrdenes[[#This Row],[fecha_inicio]]="","",TODAY()-tblOrdenes[[#This Row],[fecha_inicio]])</f>
        <v/>
      </c>
      <c r="AB9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1">
        <f>IF(tblOrdenes[[#This Row],[orden]]="","",_xlfn.XLOOKUP(tblOrdenes[[#This Row],[id_operacion]],tblEjecucion[id_operacion],tblEjecucion[precio],0))</f>
        <v/>
      </c>
      <c r="AJ921" s="11">
        <f>IF(tblOrdenes[[#This Row],[orden]]="","",MAX(0,_xlfn.XLOOKUP(tblOrdenes[[#This Row],[id_operacion]],tblEjecucion[id_operacion],tblEjecucion[costo_plan_total],0)-tblOrdenes[[#This Row],[costo_servicio]]))</f>
        <v/>
      </c>
      <c r="AK921" s="11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3">
        <f>IF(tblOrdenes[[#This Row],[fecha_inicio]]="","",TODAY()-tblOrdenes[[#This Row],[fecha_inicio]])</f>
        <v/>
      </c>
      <c r="AB9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1">
        <f>IF(tblOrdenes[[#This Row],[orden]]="","",_xlfn.XLOOKUP(tblOrdenes[[#This Row],[id_operacion]],tblEjecucion[id_operacion],tblEjecucion[precio],0))</f>
        <v/>
      </c>
      <c r="AJ922" s="11">
        <f>IF(tblOrdenes[[#This Row],[orden]]="","",MAX(0,_xlfn.XLOOKUP(tblOrdenes[[#This Row],[id_operacion]],tblEjecucion[id_operacion],tblEjecucion[costo_plan_total],0)-tblOrdenes[[#This Row],[costo_servicio]]))</f>
        <v/>
      </c>
      <c r="AK922" s="11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3">
        <f>IF(tblOrdenes[[#This Row],[fecha_inicio]]="","",TODAY()-tblOrdenes[[#This Row],[fecha_inicio]])</f>
        <v/>
      </c>
      <c r="AB9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1">
        <f>IF(tblOrdenes[[#This Row],[orden]]="","",_xlfn.XLOOKUP(tblOrdenes[[#This Row],[id_operacion]],tblEjecucion[id_operacion],tblEjecucion[precio],0))</f>
        <v/>
      </c>
      <c r="AJ923" s="11">
        <f>IF(tblOrdenes[[#This Row],[orden]]="","",MAX(0,_xlfn.XLOOKUP(tblOrdenes[[#This Row],[id_operacion]],tblEjecucion[id_operacion],tblEjecucion[costo_plan_total],0)-tblOrdenes[[#This Row],[costo_servicio]]))</f>
        <v/>
      </c>
      <c r="AK923" s="11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3">
        <f>IF(tblOrdenes[[#This Row],[fecha_inicio]]="","",TODAY()-tblOrdenes[[#This Row],[fecha_inicio]])</f>
        <v/>
      </c>
      <c r="AB9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1">
        <f>IF(tblOrdenes[[#This Row],[orden]]="","",_xlfn.XLOOKUP(tblOrdenes[[#This Row],[id_operacion]],tblEjecucion[id_operacion],tblEjecucion[precio],0))</f>
        <v/>
      </c>
      <c r="AJ924" s="11">
        <f>IF(tblOrdenes[[#This Row],[orden]]="","",MAX(0,_xlfn.XLOOKUP(tblOrdenes[[#This Row],[id_operacion]],tblEjecucion[id_operacion],tblEjecucion[costo_plan_total],0)-tblOrdenes[[#This Row],[costo_servicio]]))</f>
        <v/>
      </c>
      <c r="AK924" s="11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3">
        <f>IF(tblOrdenes[[#This Row],[fecha_inicio]]="","",TODAY()-tblOrdenes[[#This Row],[fecha_inicio]])</f>
        <v/>
      </c>
      <c r="AB9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1">
        <f>IF(tblOrdenes[[#This Row],[orden]]="","",_xlfn.XLOOKUP(tblOrdenes[[#This Row],[id_operacion]],tblEjecucion[id_operacion],tblEjecucion[precio],0))</f>
        <v/>
      </c>
      <c r="AJ925" s="11">
        <f>IF(tblOrdenes[[#This Row],[orden]]="","",MAX(0,_xlfn.XLOOKUP(tblOrdenes[[#This Row],[id_operacion]],tblEjecucion[id_operacion],tblEjecucion[costo_plan_total],0)-tblOrdenes[[#This Row],[costo_servicio]]))</f>
        <v/>
      </c>
      <c r="AK925" s="11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3">
        <f>IF(tblOrdenes[[#This Row],[fecha_inicio]]="","",TODAY()-tblOrdenes[[#This Row],[fecha_inicio]])</f>
        <v/>
      </c>
      <c r="AB9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1">
        <f>IF(tblOrdenes[[#This Row],[orden]]="","",_xlfn.XLOOKUP(tblOrdenes[[#This Row],[id_operacion]],tblEjecucion[id_operacion],tblEjecucion[precio],0))</f>
        <v/>
      </c>
      <c r="AJ926" s="11">
        <f>IF(tblOrdenes[[#This Row],[orden]]="","",MAX(0,_xlfn.XLOOKUP(tblOrdenes[[#This Row],[id_operacion]],tblEjecucion[id_operacion],tblEjecucion[costo_plan_total],0)-tblOrdenes[[#This Row],[costo_servicio]]))</f>
        <v/>
      </c>
      <c r="AK926" s="11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3">
        <f>IF(tblOrdenes[[#This Row],[fecha_inicio]]="","",TODAY()-tblOrdenes[[#This Row],[fecha_inicio]])</f>
        <v/>
      </c>
      <c r="AB9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1">
        <f>IF(tblOrdenes[[#This Row],[orden]]="","",_xlfn.XLOOKUP(tblOrdenes[[#This Row],[id_operacion]],tblEjecucion[id_operacion],tblEjecucion[precio],0))</f>
        <v/>
      </c>
      <c r="AJ927" s="11">
        <f>IF(tblOrdenes[[#This Row],[orden]]="","",MAX(0,_xlfn.XLOOKUP(tblOrdenes[[#This Row],[id_operacion]],tblEjecucion[id_operacion],tblEjecucion[costo_plan_total],0)-tblOrdenes[[#This Row],[costo_servicio]]))</f>
        <v/>
      </c>
      <c r="AK927" s="11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3">
        <f>IF(tblOrdenes[[#This Row],[fecha_inicio]]="","",TODAY()-tblOrdenes[[#This Row],[fecha_inicio]])</f>
        <v/>
      </c>
      <c r="AB9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1">
        <f>IF(tblOrdenes[[#This Row],[orden]]="","",_xlfn.XLOOKUP(tblOrdenes[[#This Row],[id_operacion]],tblEjecucion[id_operacion],tblEjecucion[precio],0))</f>
        <v/>
      </c>
      <c r="AJ928" s="11">
        <f>IF(tblOrdenes[[#This Row],[orden]]="","",MAX(0,_xlfn.XLOOKUP(tblOrdenes[[#This Row],[id_operacion]],tblEjecucion[id_operacion],tblEjecucion[costo_plan_total],0)-tblOrdenes[[#This Row],[costo_servicio]]))</f>
        <v/>
      </c>
      <c r="AK928" s="11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3">
        <f>IF(tblOrdenes[[#This Row],[fecha_inicio]]="","",TODAY()-tblOrdenes[[#This Row],[fecha_inicio]])</f>
        <v/>
      </c>
      <c r="AB9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1">
        <f>IF(tblOrdenes[[#This Row],[orden]]="","",_xlfn.XLOOKUP(tblOrdenes[[#This Row],[id_operacion]],tblEjecucion[id_operacion],tblEjecucion[precio],0))</f>
        <v/>
      </c>
      <c r="AJ929" s="11">
        <f>IF(tblOrdenes[[#This Row],[orden]]="","",MAX(0,_xlfn.XLOOKUP(tblOrdenes[[#This Row],[id_operacion]],tblEjecucion[id_operacion],tblEjecucion[costo_plan_total],0)-tblOrdenes[[#This Row],[costo_servicio]]))</f>
        <v/>
      </c>
      <c r="AK929" s="11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3">
        <f>IF(tblOrdenes[[#This Row],[fecha_inicio]]="","",TODAY()-tblOrdenes[[#This Row],[fecha_inicio]])</f>
        <v/>
      </c>
      <c r="AB9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1">
        <f>IF(tblOrdenes[[#This Row],[orden]]="","",_xlfn.XLOOKUP(tblOrdenes[[#This Row],[id_operacion]],tblEjecucion[id_operacion],tblEjecucion[precio],0))</f>
        <v/>
      </c>
      <c r="AJ930" s="11">
        <f>IF(tblOrdenes[[#This Row],[orden]]="","",MAX(0,_xlfn.XLOOKUP(tblOrdenes[[#This Row],[id_operacion]],tblEjecucion[id_operacion],tblEjecucion[costo_plan_total],0)-tblOrdenes[[#This Row],[costo_servicio]]))</f>
        <v/>
      </c>
      <c r="AK930" s="11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3">
        <f>IF(tblOrdenes[[#This Row],[fecha_inicio]]="","",TODAY()-tblOrdenes[[#This Row],[fecha_inicio]])</f>
        <v/>
      </c>
      <c r="AB9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1">
        <f>IF(tblOrdenes[[#This Row],[orden]]="","",_xlfn.XLOOKUP(tblOrdenes[[#This Row],[id_operacion]],tblEjecucion[id_operacion],tblEjecucion[precio],0))</f>
        <v/>
      </c>
      <c r="AJ931" s="11">
        <f>IF(tblOrdenes[[#This Row],[orden]]="","",MAX(0,_xlfn.XLOOKUP(tblOrdenes[[#This Row],[id_operacion]],tblEjecucion[id_operacion],tblEjecucion[costo_plan_total],0)-tblOrdenes[[#This Row],[costo_servicio]]))</f>
        <v/>
      </c>
      <c r="AK931" s="11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3">
        <f>IF(tblOrdenes[[#This Row],[fecha_inicio]]="","",TODAY()-tblOrdenes[[#This Row],[fecha_inicio]])</f>
        <v/>
      </c>
      <c r="AB9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1">
        <f>IF(tblOrdenes[[#This Row],[orden]]="","",_xlfn.XLOOKUP(tblOrdenes[[#This Row],[id_operacion]],tblEjecucion[id_operacion],tblEjecucion[precio],0))</f>
        <v/>
      </c>
      <c r="AJ932" s="11">
        <f>IF(tblOrdenes[[#This Row],[orden]]="","",MAX(0,_xlfn.XLOOKUP(tblOrdenes[[#This Row],[id_operacion]],tblEjecucion[id_operacion],tblEjecucion[costo_plan_total],0)-tblOrdenes[[#This Row],[costo_servicio]]))</f>
        <v/>
      </c>
      <c r="AK932" s="11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3">
        <f>IF(tblOrdenes[[#This Row],[fecha_inicio]]="","",TODAY()-tblOrdenes[[#This Row],[fecha_inicio]])</f>
        <v/>
      </c>
      <c r="AB9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1">
        <f>IF(tblOrdenes[[#This Row],[orden]]="","",_xlfn.XLOOKUP(tblOrdenes[[#This Row],[id_operacion]],tblEjecucion[id_operacion],tblEjecucion[precio],0))</f>
        <v/>
      </c>
      <c r="AJ933" s="11">
        <f>IF(tblOrdenes[[#This Row],[orden]]="","",MAX(0,_xlfn.XLOOKUP(tblOrdenes[[#This Row],[id_operacion]],tblEjecucion[id_operacion],tblEjecucion[costo_plan_total],0)-tblOrdenes[[#This Row],[costo_servicio]]))</f>
        <v/>
      </c>
      <c r="AK933" s="11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3">
        <f>IF(tblOrdenes[[#This Row],[fecha_inicio]]="","",TODAY()-tblOrdenes[[#This Row],[fecha_inicio]])</f>
        <v/>
      </c>
      <c r="AB9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1">
        <f>IF(tblOrdenes[[#This Row],[orden]]="","",_xlfn.XLOOKUP(tblOrdenes[[#This Row],[id_operacion]],tblEjecucion[id_operacion],tblEjecucion[precio],0))</f>
        <v/>
      </c>
      <c r="AJ934" s="11">
        <f>IF(tblOrdenes[[#This Row],[orden]]="","",MAX(0,_xlfn.XLOOKUP(tblOrdenes[[#This Row],[id_operacion]],tblEjecucion[id_operacion],tblEjecucion[costo_plan_total],0)-tblOrdenes[[#This Row],[costo_servicio]]))</f>
        <v/>
      </c>
      <c r="AK934" s="11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3">
        <f>IF(tblOrdenes[[#This Row],[fecha_inicio]]="","",TODAY()-tblOrdenes[[#This Row],[fecha_inicio]])</f>
        <v/>
      </c>
      <c r="AB9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1">
        <f>IF(tblOrdenes[[#This Row],[orden]]="","",_xlfn.XLOOKUP(tblOrdenes[[#This Row],[id_operacion]],tblEjecucion[id_operacion],tblEjecucion[precio],0))</f>
        <v/>
      </c>
      <c r="AJ935" s="11">
        <f>IF(tblOrdenes[[#This Row],[orden]]="","",MAX(0,_xlfn.XLOOKUP(tblOrdenes[[#This Row],[id_operacion]],tblEjecucion[id_operacion],tblEjecucion[costo_plan_total],0)-tblOrdenes[[#This Row],[costo_servicio]]))</f>
        <v/>
      </c>
      <c r="AK935" s="11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3">
        <f>IF(tblOrdenes[[#This Row],[fecha_inicio]]="","",TODAY()-tblOrdenes[[#This Row],[fecha_inicio]])</f>
        <v/>
      </c>
      <c r="AB9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1">
        <f>IF(tblOrdenes[[#This Row],[orden]]="","",_xlfn.XLOOKUP(tblOrdenes[[#This Row],[id_operacion]],tblEjecucion[id_operacion],tblEjecucion[precio],0))</f>
        <v/>
      </c>
      <c r="AJ936" s="11">
        <f>IF(tblOrdenes[[#This Row],[orden]]="","",MAX(0,_xlfn.XLOOKUP(tblOrdenes[[#This Row],[id_operacion]],tblEjecucion[id_operacion],tblEjecucion[costo_plan_total],0)-tblOrdenes[[#This Row],[costo_servicio]]))</f>
        <v/>
      </c>
      <c r="AK936" s="11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3">
        <f>IF(tblOrdenes[[#This Row],[fecha_inicio]]="","",TODAY()-tblOrdenes[[#This Row],[fecha_inicio]])</f>
        <v/>
      </c>
      <c r="AB9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1">
        <f>IF(tblOrdenes[[#This Row],[orden]]="","",_xlfn.XLOOKUP(tblOrdenes[[#This Row],[id_operacion]],tblEjecucion[id_operacion],tblEjecucion[precio],0))</f>
        <v/>
      </c>
      <c r="AJ937" s="11">
        <f>IF(tblOrdenes[[#This Row],[orden]]="","",MAX(0,_xlfn.XLOOKUP(tblOrdenes[[#This Row],[id_operacion]],tblEjecucion[id_operacion],tblEjecucion[costo_plan_total],0)-tblOrdenes[[#This Row],[costo_servicio]]))</f>
        <v/>
      </c>
      <c r="AK937" s="11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3">
        <f>IF(tblOrdenes[[#This Row],[fecha_inicio]]="","",TODAY()-tblOrdenes[[#This Row],[fecha_inicio]])</f>
        <v/>
      </c>
      <c r="AB9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1">
        <f>IF(tblOrdenes[[#This Row],[orden]]="","",_xlfn.XLOOKUP(tblOrdenes[[#This Row],[id_operacion]],tblEjecucion[id_operacion],tblEjecucion[precio],0))</f>
        <v/>
      </c>
      <c r="AJ938" s="11">
        <f>IF(tblOrdenes[[#This Row],[orden]]="","",MAX(0,_xlfn.XLOOKUP(tblOrdenes[[#This Row],[id_operacion]],tblEjecucion[id_operacion],tblEjecucion[costo_plan_total],0)-tblOrdenes[[#This Row],[costo_servicio]]))</f>
        <v/>
      </c>
      <c r="AK938" s="11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3">
        <f>IF(tblOrdenes[[#This Row],[fecha_inicio]]="","",TODAY()-tblOrdenes[[#This Row],[fecha_inicio]])</f>
        <v/>
      </c>
      <c r="AB9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1">
        <f>IF(tblOrdenes[[#This Row],[orden]]="","",_xlfn.XLOOKUP(tblOrdenes[[#This Row],[id_operacion]],tblEjecucion[id_operacion],tblEjecucion[precio],0))</f>
        <v/>
      </c>
      <c r="AJ939" s="11">
        <f>IF(tblOrdenes[[#This Row],[orden]]="","",MAX(0,_xlfn.XLOOKUP(tblOrdenes[[#This Row],[id_operacion]],tblEjecucion[id_operacion],tblEjecucion[costo_plan_total],0)-tblOrdenes[[#This Row],[costo_servicio]]))</f>
        <v/>
      </c>
      <c r="AK939" s="11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3">
        <f>IF(tblOrdenes[[#This Row],[fecha_inicio]]="","",TODAY()-tblOrdenes[[#This Row],[fecha_inicio]])</f>
        <v/>
      </c>
      <c r="AB9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1">
        <f>IF(tblOrdenes[[#This Row],[orden]]="","",_xlfn.XLOOKUP(tblOrdenes[[#This Row],[id_operacion]],tblEjecucion[id_operacion],tblEjecucion[precio],0))</f>
        <v/>
      </c>
      <c r="AJ940" s="11">
        <f>IF(tblOrdenes[[#This Row],[orden]]="","",MAX(0,_xlfn.XLOOKUP(tblOrdenes[[#This Row],[id_operacion]],tblEjecucion[id_operacion],tblEjecucion[costo_plan_total],0)-tblOrdenes[[#This Row],[costo_servicio]]))</f>
        <v/>
      </c>
      <c r="AK940" s="11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3">
        <f>IF(tblOrdenes[[#This Row],[fecha_inicio]]="","",TODAY()-tblOrdenes[[#This Row],[fecha_inicio]])</f>
        <v/>
      </c>
      <c r="AB9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1">
        <f>IF(tblOrdenes[[#This Row],[orden]]="","",_xlfn.XLOOKUP(tblOrdenes[[#This Row],[id_operacion]],tblEjecucion[id_operacion],tblEjecucion[precio],0))</f>
        <v/>
      </c>
      <c r="AJ941" s="11">
        <f>IF(tblOrdenes[[#This Row],[orden]]="","",MAX(0,_xlfn.XLOOKUP(tblOrdenes[[#This Row],[id_operacion]],tblEjecucion[id_operacion],tblEjecucion[costo_plan_total],0)-tblOrdenes[[#This Row],[costo_servicio]]))</f>
        <v/>
      </c>
      <c r="AK941" s="11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3">
        <f>IF(tblOrdenes[[#This Row],[fecha_inicio]]="","",TODAY()-tblOrdenes[[#This Row],[fecha_inicio]])</f>
        <v/>
      </c>
      <c r="AB9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1">
        <f>IF(tblOrdenes[[#This Row],[orden]]="","",_xlfn.XLOOKUP(tblOrdenes[[#This Row],[id_operacion]],tblEjecucion[id_operacion],tblEjecucion[precio],0))</f>
        <v/>
      </c>
      <c r="AJ942" s="11">
        <f>IF(tblOrdenes[[#This Row],[orden]]="","",MAX(0,_xlfn.XLOOKUP(tblOrdenes[[#This Row],[id_operacion]],tblEjecucion[id_operacion],tblEjecucion[costo_plan_total],0)-tblOrdenes[[#This Row],[costo_servicio]]))</f>
        <v/>
      </c>
      <c r="AK942" s="11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3">
        <f>IF(tblOrdenes[[#This Row],[fecha_inicio]]="","",TODAY()-tblOrdenes[[#This Row],[fecha_inicio]])</f>
        <v/>
      </c>
      <c r="AB9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1">
        <f>IF(tblOrdenes[[#This Row],[orden]]="","",_xlfn.XLOOKUP(tblOrdenes[[#This Row],[id_operacion]],tblEjecucion[id_operacion],tblEjecucion[precio],0))</f>
        <v/>
      </c>
      <c r="AJ943" s="11">
        <f>IF(tblOrdenes[[#This Row],[orden]]="","",MAX(0,_xlfn.XLOOKUP(tblOrdenes[[#This Row],[id_operacion]],tblEjecucion[id_operacion],tblEjecucion[costo_plan_total],0)-tblOrdenes[[#This Row],[costo_servicio]]))</f>
        <v/>
      </c>
      <c r="AK943" s="11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3">
        <f>IF(tblOrdenes[[#This Row],[fecha_inicio]]="","",TODAY()-tblOrdenes[[#This Row],[fecha_inicio]])</f>
        <v/>
      </c>
      <c r="AB9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1">
        <f>IF(tblOrdenes[[#This Row],[orden]]="","",_xlfn.XLOOKUP(tblOrdenes[[#This Row],[id_operacion]],tblEjecucion[id_operacion],tblEjecucion[precio],0))</f>
        <v/>
      </c>
      <c r="AJ944" s="11">
        <f>IF(tblOrdenes[[#This Row],[orden]]="","",MAX(0,_xlfn.XLOOKUP(tblOrdenes[[#This Row],[id_operacion]],tblEjecucion[id_operacion],tblEjecucion[costo_plan_total],0)-tblOrdenes[[#This Row],[costo_servicio]]))</f>
        <v/>
      </c>
      <c r="AK944" s="11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3">
        <f>IF(tblOrdenes[[#This Row],[fecha_inicio]]="","",TODAY()-tblOrdenes[[#This Row],[fecha_inicio]])</f>
        <v/>
      </c>
      <c r="AB9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1">
        <f>IF(tblOrdenes[[#This Row],[orden]]="","",_xlfn.XLOOKUP(tblOrdenes[[#This Row],[id_operacion]],tblEjecucion[id_operacion],tblEjecucion[precio],0))</f>
        <v/>
      </c>
      <c r="AJ945" s="11">
        <f>IF(tblOrdenes[[#This Row],[orden]]="","",MAX(0,_xlfn.XLOOKUP(tblOrdenes[[#This Row],[id_operacion]],tblEjecucion[id_operacion],tblEjecucion[costo_plan_total],0)-tblOrdenes[[#This Row],[costo_servicio]]))</f>
        <v/>
      </c>
      <c r="AK945" s="11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3">
        <f>IF(tblOrdenes[[#This Row],[fecha_inicio]]="","",TODAY()-tblOrdenes[[#This Row],[fecha_inicio]])</f>
        <v/>
      </c>
      <c r="AB9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1">
        <f>IF(tblOrdenes[[#This Row],[orden]]="","",_xlfn.XLOOKUP(tblOrdenes[[#This Row],[id_operacion]],tblEjecucion[id_operacion],tblEjecucion[precio],0))</f>
        <v/>
      </c>
      <c r="AJ946" s="11">
        <f>IF(tblOrdenes[[#This Row],[orden]]="","",MAX(0,_xlfn.XLOOKUP(tblOrdenes[[#This Row],[id_operacion]],tblEjecucion[id_operacion],tblEjecucion[costo_plan_total],0)-tblOrdenes[[#This Row],[costo_servicio]]))</f>
        <v/>
      </c>
      <c r="AK946" s="11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3">
        <f>IF(tblOrdenes[[#This Row],[fecha_inicio]]="","",TODAY()-tblOrdenes[[#This Row],[fecha_inicio]])</f>
        <v/>
      </c>
      <c r="AB9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1">
        <f>IF(tblOrdenes[[#This Row],[orden]]="","",_xlfn.XLOOKUP(tblOrdenes[[#This Row],[id_operacion]],tblEjecucion[id_operacion],tblEjecucion[precio],0))</f>
        <v/>
      </c>
      <c r="AJ947" s="11">
        <f>IF(tblOrdenes[[#This Row],[orden]]="","",MAX(0,_xlfn.XLOOKUP(tblOrdenes[[#This Row],[id_operacion]],tblEjecucion[id_operacion],tblEjecucion[costo_plan_total],0)-tblOrdenes[[#This Row],[costo_servicio]]))</f>
        <v/>
      </c>
      <c r="AK947" s="11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3">
        <f>IF(tblOrdenes[[#This Row],[fecha_inicio]]="","",TODAY()-tblOrdenes[[#This Row],[fecha_inicio]])</f>
        <v/>
      </c>
      <c r="AB9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1">
        <f>IF(tblOrdenes[[#This Row],[orden]]="","",_xlfn.XLOOKUP(tblOrdenes[[#This Row],[id_operacion]],tblEjecucion[id_operacion],tblEjecucion[precio],0))</f>
        <v/>
      </c>
      <c r="AJ948" s="11">
        <f>IF(tblOrdenes[[#This Row],[orden]]="","",MAX(0,_xlfn.XLOOKUP(tblOrdenes[[#This Row],[id_operacion]],tblEjecucion[id_operacion],tblEjecucion[costo_plan_total],0)-tblOrdenes[[#This Row],[costo_servicio]]))</f>
        <v/>
      </c>
      <c r="AK948" s="11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3">
        <f>IF(tblOrdenes[[#This Row],[fecha_inicio]]="","",TODAY()-tblOrdenes[[#This Row],[fecha_inicio]])</f>
        <v/>
      </c>
      <c r="AB9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1">
        <f>IF(tblOrdenes[[#This Row],[orden]]="","",_xlfn.XLOOKUP(tblOrdenes[[#This Row],[id_operacion]],tblEjecucion[id_operacion],tblEjecucion[precio],0))</f>
        <v/>
      </c>
      <c r="AJ949" s="11">
        <f>IF(tblOrdenes[[#This Row],[orden]]="","",MAX(0,_xlfn.XLOOKUP(tblOrdenes[[#This Row],[id_operacion]],tblEjecucion[id_operacion],tblEjecucion[costo_plan_total],0)-tblOrdenes[[#This Row],[costo_servicio]]))</f>
        <v/>
      </c>
      <c r="AK949" s="11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3">
        <f>IF(tblOrdenes[[#This Row],[fecha_inicio]]="","",TODAY()-tblOrdenes[[#This Row],[fecha_inicio]])</f>
        <v/>
      </c>
      <c r="AB9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1">
        <f>IF(tblOrdenes[[#This Row],[orden]]="","",_xlfn.XLOOKUP(tblOrdenes[[#This Row],[id_operacion]],tblEjecucion[id_operacion],tblEjecucion[precio],0))</f>
        <v/>
      </c>
      <c r="AJ950" s="11">
        <f>IF(tblOrdenes[[#This Row],[orden]]="","",MAX(0,_xlfn.XLOOKUP(tblOrdenes[[#This Row],[id_operacion]],tblEjecucion[id_operacion],tblEjecucion[costo_plan_total],0)-tblOrdenes[[#This Row],[costo_servicio]]))</f>
        <v/>
      </c>
      <c r="AK950" s="11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3">
        <f>IF(tblOrdenes[[#This Row],[fecha_inicio]]="","",TODAY()-tblOrdenes[[#This Row],[fecha_inicio]])</f>
        <v/>
      </c>
      <c r="AB9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1">
        <f>IF(tblOrdenes[[#This Row],[orden]]="","",_xlfn.XLOOKUP(tblOrdenes[[#This Row],[id_operacion]],tblEjecucion[id_operacion],tblEjecucion[precio],0))</f>
        <v/>
      </c>
      <c r="AJ951" s="11">
        <f>IF(tblOrdenes[[#This Row],[orden]]="","",MAX(0,_xlfn.XLOOKUP(tblOrdenes[[#This Row],[id_operacion]],tblEjecucion[id_operacion],tblEjecucion[costo_plan_total],0)-tblOrdenes[[#This Row],[costo_servicio]]))</f>
        <v/>
      </c>
      <c r="AK951" s="11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3">
        <f>IF(tblOrdenes[[#This Row],[fecha_inicio]]="","",TODAY()-tblOrdenes[[#This Row],[fecha_inicio]])</f>
        <v/>
      </c>
      <c r="AB9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1">
        <f>IF(tblOrdenes[[#This Row],[orden]]="","",_xlfn.XLOOKUP(tblOrdenes[[#This Row],[id_operacion]],tblEjecucion[id_operacion],tblEjecucion[precio],0))</f>
        <v/>
      </c>
      <c r="AJ952" s="11">
        <f>IF(tblOrdenes[[#This Row],[orden]]="","",MAX(0,_xlfn.XLOOKUP(tblOrdenes[[#This Row],[id_operacion]],tblEjecucion[id_operacion],tblEjecucion[costo_plan_total],0)-tblOrdenes[[#This Row],[costo_servicio]]))</f>
        <v/>
      </c>
      <c r="AK952" s="11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3">
        <f>IF(tblOrdenes[[#This Row],[fecha_inicio]]="","",TODAY()-tblOrdenes[[#This Row],[fecha_inicio]])</f>
        <v/>
      </c>
      <c r="AB9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1">
        <f>IF(tblOrdenes[[#This Row],[orden]]="","",_xlfn.XLOOKUP(tblOrdenes[[#This Row],[id_operacion]],tblEjecucion[id_operacion],tblEjecucion[precio],0))</f>
        <v/>
      </c>
      <c r="AJ953" s="11">
        <f>IF(tblOrdenes[[#This Row],[orden]]="","",MAX(0,_xlfn.XLOOKUP(tblOrdenes[[#This Row],[id_operacion]],tblEjecucion[id_operacion],tblEjecucion[costo_plan_total],0)-tblOrdenes[[#This Row],[costo_servicio]]))</f>
        <v/>
      </c>
      <c r="AK953" s="11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3">
        <f>IF(tblOrdenes[[#This Row],[fecha_inicio]]="","",TODAY()-tblOrdenes[[#This Row],[fecha_inicio]])</f>
        <v/>
      </c>
      <c r="AB9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1">
        <f>IF(tblOrdenes[[#This Row],[orden]]="","",_xlfn.XLOOKUP(tblOrdenes[[#This Row],[id_operacion]],tblEjecucion[id_operacion],tblEjecucion[precio],0))</f>
        <v/>
      </c>
      <c r="AJ954" s="11">
        <f>IF(tblOrdenes[[#This Row],[orden]]="","",MAX(0,_xlfn.XLOOKUP(tblOrdenes[[#This Row],[id_operacion]],tblEjecucion[id_operacion],tblEjecucion[costo_plan_total],0)-tblOrdenes[[#This Row],[costo_servicio]]))</f>
        <v/>
      </c>
      <c r="AK954" s="11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3">
        <f>IF(tblOrdenes[[#This Row],[fecha_inicio]]="","",TODAY()-tblOrdenes[[#This Row],[fecha_inicio]])</f>
        <v/>
      </c>
      <c r="AB9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1">
        <f>IF(tblOrdenes[[#This Row],[orden]]="","",_xlfn.XLOOKUP(tblOrdenes[[#This Row],[id_operacion]],tblEjecucion[id_operacion],tblEjecucion[precio],0))</f>
        <v/>
      </c>
      <c r="AJ955" s="11">
        <f>IF(tblOrdenes[[#This Row],[orden]]="","",MAX(0,_xlfn.XLOOKUP(tblOrdenes[[#This Row],[id_operacion]],tblEjecucion[id_operacion],tblEjecucion[costo_plan_total],0)-tblOrdenes[[#This Row],[costo_servicio]]))</f>
        <v/>
      </c>
      <c r="AK955" s="11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3">
        <f>IF(tblOrdenes[[#This Row],[fecha_inicio]]="","",TODAY()-tblOrdenes[[#This Row],[fecha_inicio]])</f>
        <v/>
      </c>
      <c r="AB9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1">
        <f>IF(tblOrdenes[[#This Row],[orden]]="","",_xlfn.XLOOKUP(tblOrdenes[[#This Row],[id_operacion]],tblEjecucion[id_operacion],tblEjecucion[precio],0))</f>
        <v/>
      </c>
      <c r="AJ956" s="11">
        <f>IF(tblOrdenes[[#This Row],[orden]]="","",MAX(0,_xlfn.XLOOKUP(tblOrdenes[[#This Row],[id_operacion]],tblEjecucion[id_operacion],tblEjecucion[costo_plan_total],0)-tblOrdenes[[#This Row],[costo_servicio]]))</f>
        <v/>
      </c>
      <c r="AK956" s="11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3">
        <f>IF(tblOrdenes[[#This Row],[fecha_inicio]]="","",TODAY()-tblOrdenes[[#This Row],[fecha_inicio]])</f>
        <v/>
      </c>
      <c r="AB9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1">
        <f>IF(tblOrdenes[[#This Row],[orden]]="","",_xlfn.XLOOKUP(tblOrdenes[[#This Row],[id_operacion]],tblEjecucion[id_operacion],tblEjecucion[precio],0))</f>
        <v/>
      </c>
      <c r="AJ957" s="11">
        <f>IF(tblOrdenes[[#This Row],[orden]]="","",MAX(0,_xlfn.XLOOKUP(tblOrdenes[[#This Row],[id_operacion]],tblEjecucion[id_operacion],tblEjecucion[costo_plan_total],0)-tblOrdenes[[#This Row],[costo_servicio]]))</f>
        <v/>
      </c>
      <c r="AK957" s="11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3">
        <f>IF(tblOrdenes[[#This Row],[fecha_inicio]]="","",TODAY()-tblOrdenes[[#This Row],[fecha_inicio]])</f>
        <v/>
      </c>
      <c r="AB9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1">
        <f>IF(tblOrdenes[[#This Row],[orden]]="","",_xlfn.XLOOKUP(tblOrdenes[[#This Row],[id_operacion]],tblEjecucion[id_operacion],tblEjecucion[precio],0))</f>
        <v/>
      </c>
      <c r="AJ958" s="11">
        <f>IF(tblOrdenes[[#This Row],[orden]]="","",MAX(0,_xlfn.XLOOKUP(tblOrdenes[[#This Row],[id_operacion]],tblEjecucion[id_operacion],tblEjecucion[costo_plan_total],0)-tblOrdenes[[#This Row],[costo_servicio]]))</f>
        <v/>
      </c>
      <c r="AK958" s="11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3">
        <f>IF(tblOrdenes[[#This Row],[fecha_inicio]]="","",TODAY()-tblOrdenes[[#This Row],[fecha_inicio]])</f>
        <v/>
      </c>
      <c r="AB9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1">
        <f>IF(tblOrdenes[[#This Row],[orden]]="","",_xlfn.XLOOKUP(tblOrdenes[[#This Row],[id_operacion]],tblEjecucion[id_operacion],tblEjecucion[precio],0))</f>
        <v/>
      </c>
      <c r="AJ959" s="11">
        <f>IF(tblOrdenes[[#This Row],[orden]]="","",MAX(0,_xlfn.XLOOKUP(tblOrdenes[[#This Row],[id_operacion]],tblEjecucion[id_operacion],tblEjecucion[costo_plan_total],0)-tblOrdenes[[#This Row],[costo_servicio]]))</f>
        <v/>
      </c>
      <c r="AK959" s="11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3">
        <f>IF(tblOrdenes[[#This Row],[fecha_inicio]]="","",TODAY()-tblOrdenes[[#This Row],[fecha_inicio]])</f>
        <v/>
      </c>
      <c r="AB9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1">
        <f>IF(tblOrdenes[[#This Row],[orden]]="","",_xlfn.XLOOKUP(tblOrdenes[[#This Row],[id_operacion]],tblEjecucion[id_operacion],tblEjecucion[precio],0))</f>
        <v/>
      </c>
      <c r="AJ960" s="11">
        <f>IF(tblOrdenes[[#This Row],[orden]]="","",MAX(0,_xlfn.XLOOKUP(tblOrdenes[[#This Row],[id_operacion]],tblEjecucion[id_operacion],tblEjecucion[costo_plan_total],0)-tblOrdenes[[#This Row],[costo_servicio]]))</f>
        <v/>
      </c>
      <c r="AK960" s="11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3">
        <f>IF(tblOrdenes[[#This Row],[fecha_inicio]]="","",TODAY()-tblOrdenes[[#This Row],[fecha_inicio]])</f>
        <v/>
      </c>
      <c r="AB9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1">
        <f>IF(tblOrdenes[[#This Row],[orden]]="","",_xlfn.XLOOKUP(tblOrdenes[[#This Row],[id_operacion]],tblEjecucion[id_operacion],tblEjecucion[precio],0))</f>
        <v/>
      </c>
      <c r="AJ961" s="11">
        <f>IF(tblOrdenes[[#This Row],[orden]]="","",MAX(0,_xlfn.XLOOKUP(tblOrdenes[[#This Row],[id_operacion]],tblEjecucion[id_operacion],tblEjecucion[costo_plan_total],0)-tblOrdenes[[#This Row],[costo_servicio]]))</f>
        <v/>
      </c>
      <c r="AK961" s="11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3">
        <f>IF(tblOrdenes[[#This Row],[fecha_inicio]]="","",TODAY()-tblOrdenes[[#This Row],[fecha_inicio]])</f>
        <v/>
      </c>
      <c r="AB9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1">
        <f>IF(tblOrdenes[[#This Row],[orden]]="","",_xlfn.XLOOKUP(tblOrdenes[[#This Row],[id_operacion]],tblEjecucion[id_operacion],tblEjecucion[precio],0))</f>
        <v/>
      </c>
      <c r="AJ962" s="11">
        <f>IF(tblOrdenes[[#This Row],[orden]]="","",MAX(0,_xlfn.XLOOKUP(tblOrdenes[[#This Row],[id_operacion]],tblEjecucion[id_operacion],tblEjecucion[costo_plan_total],0)-tblOrdenes[[#This Row],[costo_servicio]]))</f>
        <v/>
      </c>
      <c r="AK962" s="11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3">
        <f>IF(tblOrdenes[[#This Row],[fecha_inicio]]="","",TODAY()-tblOrdenes[[#This Row],[fecha_inicio]])</f>
        <v/>
      </c>
      <c r="AB9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1">
        <f>IF(tblOrdenes[[#This Row],[orden]]="","",_xlfn.XLOOKUP(tblOrdenes[[#This Row],[id_operacion]],tblEjecucion[id_operacion],tblEjecucion[precio],0))</f>
        <v/>
      </c>
      <c r="AJ963" s="11">
        <f>IF(tblOrdenes[[#This Row],[orden]]="","",MAX(0,_xlfn.XLOOKUP(tblOrdenes[[#This Row],[id_operacion]],tblEjecucion[id_operacion],tblEjecucion[costo_plan_total],0)-tblOrdenes[[#This Row],[costo_servicio]]))</f>
        <v/>
      </c>
      <c r="AK963" s="11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3">
        <f>IF(tblOrdenes[[#This Row],[fecha_inicio]]="","",TODAY()-tblOrdenes[[#This Row],[fecha_inicio]])</f>
        <v/>
      </c>
      <c r="AB9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1">
        <f>IF(tblOrdenes[[#This Row],[orden]]="","",_xlfn.XLOOKUP(tblOrdenes[[#This Row],[id_operacion]],tblEjecucion[id_operacion],tblEjecucion[precio],0))</f>
        <v/>
      </c>
      <c r="AJ964" s="11">
        <f>IF(tblOrdenes[[#This Row],[orden]]="","",MAX(0,_xlfn.XLOOKUP(tblOrdenes[[#This Row],[id_operacion]],tblEjecucion[id_operacion],tblEjecucion[costo_plan_total],0)-tblOrdenes[[#This Row],[costo_servicio]]))</f>
        <v/>
      </c>
      <c r="AK964" s="11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3">
        <f>IF(tblOrdenes[[#This Row],[fecha_inicio]]="","",TODAY()-tblOrdenes[[#This Row],[fecha_inicio]])</f>
        <v/>
      </c>
      <c r="AB9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1">
        <f>IF(tblOrdenes[[#This Row],[orden]]="","",_xlfn.XLOOKUP(tblOrdenes[[#This Row],[id_operacion]],tblEjecucion[id_operacion],tblEjecucion[precio],0))</f>
        <v/>
      </c>
      <c r="AJ965" s="11">
        <f>IF(tblOrdenes[[#This Row],[orden]]="","",MAX(0,_xlfn.XLOOKUP(tblOrdenes[[#This Row],[id_operacion]],tblEjecucion[id_operacion],tblEjecucion[costo_plan_total],0)-tblOrdenes[[#This Row],[costo_servicio]]))</f>
        <v/>
      </c>
      <c r="AK965" s="11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3">
        <f>IF(tblOrdenes[[#This Row],[fecha_inicio]]="","",TODAY()-tblOrdenes[[#This Row],[fecha_inicio]])</f>
        <v/>
      </c>
      <c r="AB9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1">
        <f>IF(tblOrdenes[[#This Row],[orden]]="","",_xlfn.XLOOKUP(tblOrdenes[[#This Row],[id_operacion]],tblEjecucion[id_operacion],tblEjecucion[precio],0))</f>
        <v/>
      </c>
      <c r="AJ966" s="11">
        <f>IF(tblOrdenes[[#This Row],[orden]]="","",MAX(0,_xlfn.XLOOKUP(tblOrdenes[[#This Row],[id_operacion]],tblEjecucion[id_operacion],tblEjecucion[costo_plan_total],0)-tblOrdenes[[#This Row],[costo_servicio]]))</f>
        <v/>
      </c>
      <c r="AK966" s="11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3">
        <f>IF(tblOrdenes[[#This Row],[fecha_inicio]]="","",TODAY()-tblOrdenes[[#This Row],[fecha_inicio]])</f>
        <v/>
      </c>
      <c r="AB9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1">
        <f>IF(tblOrdenes[[#This Row],[orden]]="","",_xlfn.XLOOKUP(tblOrdenes[[#This Row],[id_operacion]],tblEjecucion[id_operacion],tblEjecucion[precio],0))</f>
        <v/>
      </c>
      <c r="AJ967" s="11">
        <f>IF(tblOrdenes[[#This Row],[orden]]="","",MAX(0,_xlfn.XLOOKUP(tblOrdenes[[#This Row],[id_operacion]],tblEjecucion[id_operacion],tblEjecucion[costo_plan_total],0)-tblOrdenes[[#This Row],[costo_servicio]]))</f>
        <v/>
      </c>
      <c r="AK967" s="11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3">
        <f>IF(tblOrdenes[[#This Row],[fecha_inicio]]="","",TODAY()-tblOrdenes[[#This Row],[fecha_inicio]])</f>
        <v/>
      </c>
      <c r="AB9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1">
        <f>IF(tblOrdenes[[#This Row],[orden]]="","",_xlfn.XLOOKUP(tblOrdenes[[#This Row],[id_operacion]],tblEjecucion[id_operacion],tblEjecucion[precio],0))</f>
        <v/>
      </c>
      <c r="AJ968" s="11">
        <f>IF(tblOrdenes[[#This Row],[orden]]="","",MAX(0,_xlfn.XLOOKUP(tblOrdenes[[#This Row],[id_operacion]],tblEjecucion[id_operacion],tblEjecucion[costo_plan_total],0)-tblOrdenes[[#This Row],[costo_servicio]]))</f>
        <v/>
      </c>
      <c r="AK968" s="11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3">
        <f>IF(tblOrdenes[[#This Row],[fecha_inicio]]="","",TODAY()-tblOrdenes[[#This Row],[fecha_inicio]])</f>
        <v/>
      </c>
      <c r="AB9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1">
        <f>IF(tblOrdenes[[#This Row],[orden]]="","",_xlfn.XLOOKUP(tblOrdenes[[#This Row],[id_operacion]],tblEjecucion[id_operacion],tblEjecucion[precio],0))</f>
        <v/>
      </c>
      <c r="AJ969" s="11">
        <f>IF(tblOrdenes[[#This Row],[orden]]="","",MAX(0,_xlfn.XLOOKUP(tblOrdenes[[#This Row],[id_operacion]],tblEjecucion[id_operacion],tblEjecucion[costo_plan_total],0)-tblOrdenes[[#This Row],[costo_servicio]]))</f>
        <v/>
      </c>
      <c r="AK969" s="11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3">
        <f>IF(tblOrdenes[[#This Row],[fecha_inicio]]="","",TODAY()-tblOrdenes[[#This Row],[fecha_inicio]])</f>
        <v/>
      </c>
      <c r="AB9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1">
        <f>IF(tblOrdenes[[#This Row],[orden]]="","",_xlfn.XLOOKUP(tblOrdenes[[#This Row],[id_operacion]],tblEjecucion[id_operacion],tblEjecucion[precio],0))</f>
        <v/>
      </c>
      <c r="AJ970" s="11">
        <f>IF(tblOrdenes[[#This Row],[orden]]="","",MAX(0,_xlfn.XLOOKUP(tblOrdenes[[#This Row],[id_operacion]],tblEjecucion[id_operacion],tblEjecucion[costo_plan_total],0)-tblOrdenes[[#This Row],[costo_servicio]]))</f>
        <v/>
      </c>
      <c r="AK970" s="11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3">
        <f>IF(tblOrdenes[[#This Row],[fecha_inicio]]="","",TODAY()-tblOrdenes[[#This Row],[fecha_inicio]])</f>
        <v/>
      </c>
      <c r="AB9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1">
        <f>IF(tblOrdenes[[#This Row],[orden]]="","",_xlfn.XLOOKUP(tblOrdenes[[#This Row],[id_operacion]],tblEjecucion[id_operacion],tblEjecucion[precio],0))</f>
        <v/>
      </c>
      <c r="AJ971" s="11">
        <f>IF(tblOrdenes[[#This Row],[orden]]="","",MAX(0,_xlfn.XLOOKUP(tblOrdenes[[#This Row],[id_operacion]],tblEjecucion[id_operacion],tblEjecucion[costo_plan_total],0)-tblOrdenes[[#This Row],[costo_servicio]]))</f>
        <v/>
      </c>
      <c r="AK971" s="11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3">
        <f>IF(tblOrdenes[[#This Row],[fecha_inicio]]="","",TODAY()-tblOrdenes[[#This Row],[fecha_inicio]])</f>
        <v/>
      </c>
      <c r="AB9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1">
        <f>IF(tblOrdenes[[#This Row],[orden]]="","",_xlfn.XLOOKUP(tblOrdenes[[#This Row],[id_operacion]],tblEjecucion[id_operacion],tblEjecucion[precio],0))</f>
        <v/>
      </c>
      <c r="AJ972" s="11">
        <f>IF(tblOrdenes[[#This Row],[orden]]="","",MAX(0,_xlfn.XLOOKUP(tblOrdenes[[#This Row],[id_operacion]],tblEjecucion[id_operacion],tblEjecucion[costo_plan_total],0)-tblOrdenes[[#This Row],[costo_servicio]]))</f>
        <v/>
      </c>
      <c r="AK972" s="11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3">
        <f>IF(tblOrdenes[[#This Row],[fecha_inicio]]="","",TODAY()-tblOrdenes[[#This Row],[fecha_inicio]])</f>
        <v/>
      </c>
      <c r="AB9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1">
        <f>IF(tblOrdenes[[#This Row],[orden]]="","",_xlfn.XLOOKUP(tblOrdenes[[#This Row],[id_operacion]],tblEjecucion[id_operacion],tblEjecucion[precio],0))</f>
        <v/>
      </c>
      <c r="AJ973" s="11">
        <f>IF(tblOrdenes[[#This Row],[orden]]="","",MAX(0,_xlfn.XLOOKUP(tblOrdenes[[#This Row],[id_operacion]],tblEjecucion[id_operacion],tblEjecucion[costo_plan_total],0)-tblOrdenes[[#This Row],[costo_servicio]]))</f>
        <v/>
      </c>
      <c r="AK973" s="11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3">
        <f>IF(tblOrdenes[[#This Row],[fecha_inicio]]="","",TODAY()-tblOrdenes[[#This Row],[fecha_inicio]])</f>
        <v/>
      </c>
      <c r="AB9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1">
        <f>IF(tblOrdenes[[#This Row],[orden]]="","",_xlfn.XLOOKUP(tblOrdenes[[#This Row],[id_operacion]],tblEjecucion[id_operacion],tblEjecucion[precio],0))</f>
        <v/>
      </c>
      <c r="AJ974" s="11">
        <f>IF(tblOrdenes[[#This Row],[orden]]="","",MAX(0,_xlfn.XLOOKUP(tblOrdenes[[#This Row],[id_operacion]],tblEjecucion[id_operacion],tblEjecucion[costo_plan_total],0)-tblOrdenes[[#This Row],[costo_servicio]]))</f>
        <v/>
      </c>
      <c r="AK974" s="11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3">
        <f>IF(tblOrdenes[[#This Row],[fecha_inicio]]="","",TODAY()-tblOrdenes[[#This Row],[fecha_inicio]])</f>
        <v/>
      </c>
      <c r="AB9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1">
        <f>IF(tblOrdenes[[#This Row],[orden]]="","",_xlfn.XLOOKUP(tblOrdenes[[#This Row],[id_operacion]],tblEjecucion[id_operacion],tblEjecucion[precio],0))</f>
        <v/>
      </c>
      <c r="AJ975" s="11">
        <f>IF(tblOrdenes[[#This Row],[orden]]="","",MAX(0,_xlfn.XLOOKUP(tblOrdenes[[#This Row],[id_operacion]],tblEjecucion[id_operacion],tblEjecucion[costo_plan_total],0)-tblOrdenes[[#This Row],[costo_servicio]]))</f>
        <v/>
      </c>
      <c r="AK975" s="11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3">
        <f>IF(tblOrdenes[[#This Row],[fecha_inicio]]="","",TODAY()-tblOrdenes[[#This Row],[fecha_inicio]])</f>
        <v/>
      </c>
      <c r="AB9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1">
        <f>IF(tblOrdenes[[#This Row],[orden]]="","",_xlfn.XLOOKUP(tblOrdenes[[#This Row],[id_operacion]],tblEjecucion[id_operacion],tblEjecucion[precio],0))</f>
        <v/>
      </c>
      <c r="AJ976" s="11">
        <f>IF(tblOrdenes[[#This Row],[orden]]="","",MAX(0,_xlfn.XLOOKUP(tblOrdenes[[#This Row],[id_operacion]],tblEjecucion[id_operacion],tblEjecucion[costo_plan_total],0)-tblOrdenes[[#This Row],[costo_servicio]]))</f>
        <v/>
      </c>
      <c r="AK976" s="11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3">
        <f>IF(tblOrdenes[[#This Row],[fecha_inicio]]="","",TODAY()-tblOrdenes[[#This Row],[fecha_inicio]])</f>
        <v/>
      </c>
      <c r="AB9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1">
        <f>IF(tblOrdenes[[#This Row],[orden]]="","",_xlfn.XLOOKUP(tblOrdenes[[#This Row],[id_operacion]],tblEjecucion[id_operacion],tblEjecucion[precio],0))</f>
        <v/>
      </c>
      <c r="AJ977" s="11">
        <f>IF(tblOrdenes[[#This Row],[orden]]="","",MAX(0,_xlfn.XLOOKUP(tblOrdenes[[#This Row],[id_operacion]],tblEjecucion[id_operacion],tblEjecucion[costo_plan_total],0)-tblOrdenes[[#This Row],[costo_servicio]]))</f>
        <v/>
      </c>
      <c r="AK977" s="11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3">
        <f>IF(tblOrdenes[[#This Row],[fecha_inicio]]="","",TODAY()-tblOrdenes[[#This Row],[fecha_inicio]])</f>
        <v/>
      </c>
      <c r="AB9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1">
        <f>IF(tblOrdenes[[#This Row],[orden]]="","",_xlfn.XLOOKUP(tblOrdenes[[#This Row],[id_operacion]],tblEjecucion[id_operacion],tblEjecucion[precio],0))</f>
        <v/>
      </c>
      <c r="AJ978" s="11">
        <f>IF(tblOrdenes[[#This Row],[orden]]="","",MAX(0,_xlfn.XLOOKUP(tblOrdenes[[#This Row],[id_operacion]],tblEjecucion[id_operacion],tblEjecucion[costo_plan_total],0)-tblOrdenes[[#This Row],[costo_servicio]]))</f>
        <v/>
      </c>
      <c r="AK978" s="11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3">
        <f>IF(tblOrdenes[[#This Row],[fecha_inicio]]="","",TODAY()-tblOrdenes[[#This Row],[fecha_inicio]])</f>
        <v/>
      </c>
      <c r="AB9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1">
        <f>IF(tblOrdenes[[#This Row],[orden]]="","",_xlfn.XLOOKUP(tblOrdenes[[#This Row],[id_operacion]],tblEjecucion[id_operacion],tblEjecucion[precio],0))</f>
        <v/>
      </c>
      <c r="AJ979" s="11">
        <f>IF(tblOrdenes[[#This Row],[orden]]="","",MAX(0,_xlfn.XLOOKUP(tblOrdenes[[#This Row],[id_operacion]],tblEjecucion[id_operacion],tblEjecucion[costo_plan_total],0)-tblOrdenes[[#This Row],[costo_servicio]]))</f>
        <v/>
      </c>
      <c r="AK979" s="11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3">
        <f>IF(tblOrdenes[[#This Row],[fecha_inicio]]="","",TODAY()-tblOrdenes[[#This Row],[fecha_inicio]])</f>
        <v/>
      </c>
      <c r="AB9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1">
        <f>IF(tblOrdenes[[#This Row],[orden]]="","",_xlfn.XLOOKUP(tblOrdenes[[#This Row],[id_operacion]],tblEjecucion[id_operacion],tblEjecucion[precio],0))</f>
        <v/>
      </c>
      <c r="AJ980" s="11">
        <f>IF(tblOrdenes[[#This Row],[orden]]="","",MAX(0,_xlfn.XLOOKUP(tblOrdenes[[#This Row],[id_operacion]],tblEjecucion[id_operacion],tblEjecucion[costo_plan_total],0)-tblOrdenes[[#This Row],[costo_servicio]]))</f>
        <v/>
      </c>
      <c r="AK980" s="11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3">
        <f>IF(tblOrdenes[[#This Row],[fecha_inicio]]="","",TODAY()-tblOrdenes[[#This Row],[fecha_inicio]])</f>
        <v/>
      </c>
      <c r="AB9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1">
        <f>IF(tblOrdenes[[#This Row],[orden]]="","",_xlfn.XLOOKUP(tblOrdenes[[#This Row],[id_operacion]],tblEjecucion[id_operacion],tblEjecucion[precio],0))</f>
        <v/>
      </c>
      <c r="AJ981" s="11">
        <f>IF(tblOrdenes[[#This Row],[orden]]="","",MAX(0,_xlfn.XLOOKUP(tblOrdenes[[#This Row],[id_operacion]],tblEjecucion[id_operacion],tblEjecucion[costo_plan_total],0)-tblOrdenes[[#This Row],[costo_servicio]]))</f>
        <v/>
      </c>
      <c r="AK981" s="11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3">
        <f>IF(tblOrdenes[[#This Row],[fecha_inicio]]="","",TODAY()-tblOrdenes[[#This Row],[fecha_inicio]])</f>
        <v/>
      </c>
      <c r="AB9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1">
        <f>IF(tblOrdenes[[#This Row],[orden]]="","",_xlfn.XLOOKUP(tblOrdenes[[#This Row],[id_operacion]],tblEjecucion[id_operacion],tblEjecucion[precio],0))</f>
        <v/>
      </c>
      <c r="AJ982" s="11">
        <f>IF(tblOrdenes[[#This Row],[orden]]="","",MAX(0,_xlfn.XLOOKUP(tblOrdenes[[#This Row],[id_operacion]],tblEjecucion[id_operacion],tblEjecucion[costo_plan_total],0)-tblOrdenes[[#This Row],[costo_servicio]]))</f>
        <v/>
      </c>
      <c r="AK982" s="11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3">
        <f>IF(tblOrdenes[[#This Row],[fecha_inicio]]="","",TODAY()-tblOrdenes[[#This Row],[fecha_inicio]])</f>
        <v/>
      </c>
      <c r="AB9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1">
        <f>IF(tblOrdenes[[#This Row],[orden]]="","",_xlfn.XLOOKUP(tblOrdenes[[#This Row],[id_operacion]],tblEjecucion[id_operacion],tblEjecucion[precio],0))</f>
        <v/>
      </c>
      <c r="AJ983" s="11">
        <f>IF(tblOrdenes[[#This Row],[orden]]="","",MAX(0,_xlfn.XLOOKUP(tblOrdenes[[#This Row],[id_operacion]],tblEjecucion[id_operacion],tblEjecucion[costo_plan_total],0)-tblOrdenes[[#This Row],[costo_servicio]]))</f>
        <v/>
      </c>
      <c r="AK983" s="11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3">
        <f>IF(tblOrdenes[[#This Row],[fecha_inicio]]="","",TODAY()-tblOrdenes[[#This Row],[fecha_inicio]])</f>
        <v/>
      </c>
      <c r="AB9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1">
        <f>IF(tblOrdenes[[#This Row],[orden]]="","",_xlfn.XLOOKUP(tblOrdenes[[#This Row],[id_operacion]],tblEjecucion[id_operacion],tblEjecucion[precio],0))</f>
        <v/>
      </c>
      <c r="AJ984" s="11">
        <f>IF(tblOrdenes[[#This Row],[orden]]="","",MAX(0,_xlfn.XLOOKUP(tblOrdenes[[#This Row],[id_operacion]],tblEjecucion[id_operacion],tblEjecucion[costo_plan_total],0)-tblOrdenes[[#This Row],[costo_servicio]]))</f>
        <v/>
      </c>
      <c r="AK984" s="11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3">
        <f>IF(tblOrdenes[[#This Row],[fecha_inicio]]="","",TODAY()-tblOrdenes[[#This Row],[fecha_inicio]])</f>
        <v/>
      </c>
      <c r="AB9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1">
        <f>IF(tblOrdenes[[#This Row],[orden]]="","",_xlfn.XLOOKUP(tblOrdenes[[#This Row],[id_operacion]],tblEjecucion[id_operacion],tblEjecucion[precio],0))</f>
        <v/>
      </c>
      <c r="AJ985" s="11">
        <f>IF(tblOrdenes[[#This Row],[orden]]="","",MAX(0,_xlfn.XLOOKUP(tblOrdenes[[#This Row],[id_operacion]],tblEjecucion[id_operacion],tblEjecucion[costo_plan_total],0)-tblOrdenes[[#This Row],[costo_servicio]]))</f>
        <v/>
      </c>
      <c r="AK985" s="11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3">
        <f>IF(tblOrdenes[[#This Row],[fecha_inicio]]="","",TODAY()-tblOrdenes[[#This Row],[fecha_inicio]])</f>
        <v/>
      </c>
      <c r="AB9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1">
        <f>IF(tblOrdenes[[#This Row],[orden]]="","",_xlfn.XLOOKUP(tblOrdenes[[#This Row],[id_operacion]],tblEjecucion[id_operacion],tblEjecucion[precio],0))</f>
        <v/>
      </c>
      <c r="AJ986" s="11">
        <f>IF(tblOrdenes[[#This Row],[orden]]="","",MAX(0,_xlfn.XLOOKUP(tblOrdenes[[#This Row],[id_operacion]],tblEjecucion[id_operacion],tblEjecucion[costo_plan_total],0)-tblOrdenes[[#This Row],[costo_servicio]]))</f>
        <v/>
      </c>
      <c r="AK986" s="11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3">
        <f>IF(tblOrdenes[[#This Row],[fecha_inicio]]="","",TODAY()-tblOrdenes[[#This Row],[fecha_inicio]])</f>
        <v/>
      </c>
      <c r="AB9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1">
        <f>IF(tblOrdenes[[#This Row],[orden]]="","",_xlfn.XLOOKUP(tblOrdenes[[#This Row],[id_operacion]],tblEjecucion[id_operacion],tblEjecucion[precio],0))</f>
        <v/>
      </c>
      <c r="AJ987" s="11">
        <f>IF(tblOrdenes[[#This Row],[orden]]="","",MAX(0,_xlfn.XLOOKUP(tblOrdenes[[#This Row],[id_operacion]],tblEjecucion[id_operacion],tblEjecucion[costo_plan_total],0)-tblOrdenes[[#This Row],[costo_servicio]]))</f>
        <v/>
      </c>
      <c r="AK987" s="11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3">
        <f>IF(tblOrdenes[[#This Row],[fecha_inicio]]="","",TODAY()-tblOrdenes[[#This Row],[fecha_inicio]])</f>
        <v/>
      </c>
      <c r="AB9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1">
        <f>IF(tblOrdenes[[#This Row],[orden]]="","",_xlfn.XLOOKUP(tblOrdenes[[#This Row],[id_operacion]],tblEjecucion[id_operacion],tblEjecucion[precio],0))</f>
        <v/>
      </c>
      <c r="AJ988" s="11">
        <f>IF(tblOrdenes[[#This Row],[orden]]="","",MAX(0,_xlfn.XLOOKUP(tblOrdenes[[#This Row],[id_operacion]],tblEjecucion[id_operacion],tblEjecucion[costo_plan_total],0)-tblOrdenes[[#This Row],[costo_servicio]]))</f>
        <v/>
      </c>
      <c r="AK988" s="11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3">
        <f>IF(tblOrdenes[[#This Row],[fecha_inicio]]="","",TODAY()-tblOrdenes[[#This Row],[fecha_inicio]])</f>
        <v/>
      </c>
      <c r="AB9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1">
        <f>IF(tblOrdenes[[#This Row],[orden]]="","",_xlfn.XLOOKUP(tblOrdenes[[#This Row],[id_operacion]],tblEjecucion[id_operacion],tblEjecucion[precio],0))</f>
        <v/>
      </c>
      <c r="AJ989" s="11">
        <f>IF(tblOrdenes[[#This Row],[orden]]="","",MAX(0,_xlfn.XLOOKUP(tblOrdenes[[#This Row],[id_operacion]],tblEjecucion[id_operacion],tblEjecucion[costo_plan_total],0)-tblOrdenes[[#This Row],[costo_servicio]]))</f>
        <v/>
      </c>
      <c r="AK989" s="11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3">
        <f>IF(tblOrdenes[[#This Row],[fecha_inicio]]="","",TODAY()-tblOrdenes[[#This Row],[fecha_inicio]])</f>
        <v/>
      </c>
      <c r="AB9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1">
        <f>IF(tblOrdenes[[#This Row],[orden]]="","",_xlfn.XLOOKUP(tblOrdenes[[#This Row],[id_operacion]],tblEjecucion[id_operacion],tblEjecucion[precio],0))</f>
        <v/>
      </c>
      <c r="AJ990" s="11">
        <f>IF(tblOrdenes[[#This Row],[orden]]="","",MAX(0,_xlfn.XLOOKUP(tblOrdenes[[#This Row],[id_operacion]],tblEjecucion[id_operacion],tblEjecucion[costo_plan_total],0)-tblOrdenes[[#This Row],[costo_servicio]]))</f>
        <v/>
      </c>
      <c r="AK990" s="11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3">
        <f>IF(tblOrdenes[[#This Row],[fecha_inicio]]="","",TODAY()-tblOrdenes[[#This Row],[fecha_inicio]])</f>
        <v/>
      </c>
      <c r="AB9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1">
        <f>IF(tblOrdenes[[#This Row],[orden]]="","",_xlfn.XLOOKUP(tblOrdenes[[#This Row],[id_operacion]],tblEjecucion[id_operacion],tblEjecucion[precio],0))</f>
        <v/>
      </c>
      <c r="AJ991" s="11">
        <f>IF(tblOrdenes[[#This Row],[orden]]="","",MAX(0,_xlfn.XLOOKUP(tblOrdenes[[#This Row],[id_operacion]],tblEjecucion[id_operacion],tblEjecucion[costo_plan_total],0)-tblOrdenes[[#This Row],[costo_servicio]]))</f>
        <v/>
      </c>
      <c r="AK991" s="11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3">
        <f>IF(tblOrdenes[[#This Row],[fecha_inicio]]="","",TODAY()-tblOrdenes[[#This Row],[fecha_inicio]])</f>
        <v/>
      </c>
      <c r="AB9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1">
        <f>IF(tblOrdenes[[#This Row],[orden]]="","",_xlfn.XLOOKUP(tblOrdenes[[#This Row],[id_operacion]],tblEjecucion[id_operacion],tblEjecucion[precio],0))</f>
        <v/>
      </c>
      <c r="AJ992" s="11">
        <f>IF(tblOrdenes[[#This Row],[orden]]="","",MAX(0,_xlfn.XLOOKUP(tblOrdenes[[#This Row],[id_operacion]],tblEjecucion[id_operacion],tblEjecucion[costo_plan_total],0)-tblOrdenes[[#This Row],[costo_servicio]]))</f>
        <v/>
      </c>
      <c r="AK992" s="11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3">
        <f>IF(tblOrdenes[[#This Row],[fecha_inicio]]="","",TODAY()-tblOrdenes[[#This Row],[fecha_inicio]])</f>
        <v/>
      </c>
      <c r="AB9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1">
        <f>IF(tblOrdenes[[#This Row],[orden]]="","",_xlfn.XLOOKUP(tblOrdenes[[#This Row],[id_operacion]],tblEjecucion[id_operacion],tblEjecucion[precio],0))</f>
        <v/>
      </c>
      <c r="AJ993" s="11">
        <f>IF(tblOrdenes[[#This Row],[orden]]="","",MAX(0,_xlfn.XLOOKUP(tblOrdenes[[#This Row],[id_operacion]],tblEjecucion[id_operacion],tblEjecucion[costo_plan_total],0)-tblOrdenes[[#This Row],[costo_servicio]]))</f>
        <v/>
      </c>
      <c r="AK993" s="11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3">
        <f>IF(tblOrdenes[[#This Row],[fecha_inicio]]="","",TODAY()-tblOrdenes[[#This Row],[fecha_inicio]])</f>
        <v/>
      </c>
      <c r="AB9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1">
        <f>IF(tblOrdenes[[#This Row],[orden]]="","",_xlfn.XLOOKUP(tblOrdenes[[#This Row],[id_operacion]],tblEjecucion[id_operacion],tblEjecucion[precio],0))</f>
        <v/>
      </c>
      <c r="AJ994" s="11">
        <f>IF(tblOrdenes[[#This Row],[orden]]="","",MAX(0,_xlfn.XLOOKUP(tblOrdenes[[#This Row],[id_operacion]],tblEjecucion[id_operacion],tblEjecucion[costo_plan_total],0)-tblOrdenes[[#This Row],[costo_servicio]]))</f>
        <v/>
      </c>
      <c r="AK994" s="11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3">
        <f>IF(tblOrdenes[[#This Row],[fecha_inicio]]="","",TODAY()-tblOrdenes[[#This Row],[fecha_inicio]])</f>
        <v/>
      </c>
      <c r="AB9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1">
        <f>IF(tblOrdenes[[#This Row],[orden]]="","",_xlfn.XLOOKUP(tblOrdenes[[#This Row],[id_operacion]],tblEjecucion[id_operacion],tblEjecucion[precio],0))</f>
        <v/>
      </c>
      <c r="AJ995" s="11">
        <f>IF(tblOrdenes[[#This Row],[orden]]="","",MAX(0,_xlfn.XLOOKUP(tblOrdenes[[#This Row],[id_operacion]],tblEjecucion[id_operacion],tblEjecucion[costo_plan_total],0)-tblOrdenes[[#This Row],[costo_servicio]]))</f>
        <v/>
      </c>
      <c r="AK995" s="11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3">
        <f>IF(tblOrdenes[[#This Row],[fecha_inicio]]="","",TODAY()-tblOrdenes[[#This Row],[fecha_inicio]])</f>
        <v/>
      </c>
      <c r="AB9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1">
        <f>IF(tblOrdenes[[#This Row],[orden]]="","",_xlfn.XLOOKUP(tblOrdenes[[#This Row],[id_operacion]],tblEjecucion[id_operacion],tblEjecucion[precio],0))</f>
        <v/>
      </c>
      <c r="AJ996" s="11">
        <f>IF(tblOrdenes[[#This Row],[orden]]="","",MAX(0,_xlfn.XLOOKUP(tblOrdenes[[#This Row],[id_operacion]],tblEjecucion[id_operacion],tblEjecucion[costo_plan_total],0)-tblOrdenes[[#This Row],[costo_servicio]]))</f>
        <v/>
      </c>
      <c r="AK996" s="11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3">
        <f>IF(tblOrdenes[[#This Row],[fecha_inicio]]="","",TODAY()-tblOrdenes[[#This Row],[fecha_inicio]])</f>
        <v/>
      </c>
      <c r="AB9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1">
        <f>IF(tblOrdenes[[#This Row],[orden]]="","",_xlfn.XLOOKUP(tblOrdenes[[#This Row],[id_operacion]],tblEjecucion[id_operacion],tblEjecucion[precio],0))</f>
        <v/>
      </c>
      <c r="AJ997" s="11">
        <f>IF(tblOrdenes[[#This Row],[orden]]="","",MAX(0,_xlfn.XLOOKUP(tblOrdenes[[#This Row],[id_operacion]],tblEjecucion[id_operacion],tblEjecucion[costo_plan_total],0)-tblOrdenes[[#This Row],[costo_servicio]]))</f>
        <v/>
      </c>
      <c r="AK997" s="11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3">
        <f>IF(tblOrdenes[[#This Row],[fecha_inicio]]="","",TODAY()-tblOrdenes[[#This Row],[fecha_inicio]])</f>
        <v/>
      </c>
      <c r="AB9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1">
        <f>IF(tblOrdenes[[#This Row],[orden]]="","",_xlfn.XLOOKUP(tblOrdenes[[#This Row],[id_operacion]],tblEjecucion[id_operacion],tblEjecucion[precio],0))</f>
        <v/>
      </c>
      <c r="AJ998" s="11">
        <f>IF(tblOrdenes[[#This Row],[orden]]="","",MAX(0,_xlfn.XLOOKUP(tblOrdenes[[#This Row],[id_operacion]],tblEjecucion[id_operacion],tblEjecucion[costo_plan_total],0)-tblOrdenes[[#This Row],[costo_servicio]]))</f>
        <v/>
      </c>
      <c r="AK998" s="11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3">
        <f>IF(tblOrdenes[[#This Row],[fecha_inicio]]="","",TODAY()-tblOrdenes[[#This Row],[fecha_inicio]])</f>
        <v/>
      </c>
      <c r="AB9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1">
        <f>IF(tblOrdenes[[#This Row],[orden]]="","",_xlfn.XLOOKUP(tblOrdenes[[#This Row],[id_operacion]],tblEjecucion[id_operacion],tblEjecucion[precio],0))</f>
        <v/>
      </c>
      <c r="AJ999" s="11">
        <f>IF(tblOrdenes[[#This Row],[orden]]="","",MAX(0,_xlfn.XLOOKUP(tblOrdenes[[#This Row],[id_operacion]],tblEjecucion[id_operacion],tblEjecucion[costo_plan_total],0)-tblOrdenes[[#This Row],[costo_servicio]]))</f>
        <v/>
      </c>
      <c r="AK999" s="11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3">
        <f>IF(tblOrdenes[[#This Row],[fecha_inicio]]="","",TODAY()-tblOrdenes[[#This Row],[fecha_inicio]])</f>
        <v/>
      </c>
      <c r="AB10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1">
        <f>IF(tblOrdenes[[#This Row],[orden]]="","",_xlfn.XLOOKUP(tblOrdenes[[#This Row],[id_operacion]],tblEjecucion[id_operacion],tblEjecucion[precio],0))</f>
        <v/>
      </c>
      <c r="AJ1000" s="11">
        <f>IF(tblOrdenes[[#This Row],[orden]]="","",MAX(0,_xlfn.XLOOKUP(tblOrdenes[[#This Row],[id_operacion]],tblEjecucion[id_operacion],tblEjecucion[costo_plan_total],0)-tblOrdenes[[#This Row],[costo_servicio]]))</f>
        <v/>
      </c>
      <c r="AK1000" s="11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3">
        <f>IF(tblOrdenes[[#This Row],[fecha_inicio]]="","",TODAY()-tblOrdenes[[#This Row],[fecha_inicio]])</f>
        <v/>
      </c>
      <c r="AB10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1">
        <f>IF(tblOrdenes[[#This Row],[orden]]="","",_xlfn.XLOOKUP(tblOrdenes[[#This Row],[id_operacion]],tblEjecucion[id_operacion],tblEjecucion[precio],0))</f>
        <v/>
      </c>
      <c r="AJ1001" s="11">
        <f>IF(tblOrdenes[[#This Row],[orden]]="","",MAX(0,_xlfn.XLOOKUP(tblOrdenes[[#This Row],[id_operacion]],tblEjecucion[id_operacion],tblEjecucion[costo_plan_total],0)-tblOrdenes[[#This Row],[costo_servicio]]))</f>
        <v/>
      </c>
      <c r="AK1001" s="11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3">
        <f>IF(tblOrdenes[[#This Row],[fecha_inicio]]="","",TODAY()-tblOrdenes[[#This Row],[fecha_inicio]])</f>
        <v/>
      </c>
      <c r="AB10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1">
        <f>IF(tblOrdenes[[#This Row],[orden]]="","",_xlfn.XLOOKUP(tblOrdenes[[#This Row],[id_operacion]],tblEjecucion[id_operacion],tblEjecucion[precio],0))</f>
        <v/>
      </c>
      <c r="AJ1002" s="11">
        <f>IF(tblOrdenes[[#This Row],[orden]]="","",MAX(0,_xlfn.XLOOKUP(tblOrdenes[[#This Row],[id_operacion]],tblEjecucion[id_operacion],tblEjecucion[costo_plan_total],0)-tblOrdenes[[#This Row],[costo_servicio]]))</f>
        <v/>
      </c>
      <c r="AK1002" s="11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3">
        <f>IF(tblOrdenes[[#This Row],[fecha_inicio]]="","",TODAY()-tblOrdenes[[#This Row],[fecha_inicio]])</f>
        <v/>
      </c>
      <c r="AB10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1">
        <f>IF(tblOrdenes[[#This Row],[orden]]="","",_xlfn.XLOOKUP(tblOrdenes[[#This Row],[id_operacion]],tblEjecucion[id_operacion],tblEjecucion[precio],0))</f>
        <v/>
      </c>
      <c r="AJ1003" s="11">
        <f>IF(tblOrdenes[[#This Row],[orden]]="","",MAX(0,_xlfn.XLOOKUP(tblOrdenes[[#This Row],[id_operacion]],tblEjecucion[id_operacion],tblEjecucion[costo_plan_total],0)-tblOrdenes[[#This Row],[costo_servicio]]))</f>
        <v/>
      </c>
      <c r="AK1003" s="11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3">
        <f>IF(tblOrdenes[[#This Row],[fecha_inicio]]="","",TODAY()-tblOrdenes[[#This Row],[fecha_inicio]])</f>
        <v/>
      </c>
      <c r="AB10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1">
        <f>IF(tblOrdenes[[#This Row],[orden]]="","",_xlfn.XLOOKUP(tblOrdenes[[#This Row],[id_operacion]],tblEjecucion[id_operacion],tblEjecucion[precio],0))</f>
        <v/>
      </c>
      <c r="AJ1004" s="11">
        <f>IF(tblOrdenes[[#This Row],[orden]]="","",MAX(0,_xlfn.XLOOKUP(tblOrdenes[[#This Row],[id_operacion]],tblEjecucion[id_operacion],tblEjecucion[costo_plan_total],0)-tblOrdenes[[#This Row],[costo_servicio]]))</f>
        <v/>
      </c>
      <c r="AK1004" s="11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3">
        <f>IF(tblOrdenes[[#This Row],[fecha_inicio]]="","",TODAY()-tblOrdenes[[#This Row],[fecha_inicio]])</f>
        <v/>
      </c>
      <c r="AB10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1">
        <f>IF(tblOrdenes[[#This Row],[orden]]="","",_xlfn.XLOOKUP(tblOrdenes[[#This Row],[id_operacion]],tblEjecucion[id_operacion],tblEjecucion[precio],0))</f>
        <v/>
      </c>
      <c r="AJ1005" s="11">
        <f>IF(tblOrdenes[[#This Row],[orden]]="","",MAX(0,_xlfn.XLOOKUP(tblOrdenes[[#This Row],[id_operacion]],tblEjecucion[id_operacion],tblEjecucion[costo_plan_total],0)-tblOrdenes[[#This Row],[costo_servicio]]))</f>
        <v/>
      </c>
      <c r="AK1005" s="11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3">
        <f>IF(tblOrdenes[[#This Row],[fecha_inicio]]="","",TODAY()-tblOrdenes[[#This Row],[fecha_inicio]])</f>
        <v/>
      </c>
      <c r="AB10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1">
        <f>IF(tblOrdenes[[#This Row],[orden]]="","",_xlfn.XLOOKUP(tblOrdenes[[#This Row],[id_operacion]],tblEjecucion[id_operacion],tblEjecucion[precio],0))</f>
        <v/>
      </c>
      <c r="AJ1006" s="11">
        <f>IF(tblOrdenes[[#This Row],[orden]]="","",MAX(0,_xlfn.XLOOKUP(tblOrdenes[[#This Row],[id_operacion]],tblEjecucion[id_operacion],tblEjecucion[costo_plan_total],0)-tblOrdenes[[#This Row],[costo_servicio]]))</f>
        <v/>
      </c>
      <c r="AK1006" s="11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3">
        <f>IF(tblOrdenes[[#This Row],[fecha_inicio]]="","",TODAY()-tblOrdenes[[#This Row],[fecha_inicio]])</f>
        <v/>
      </c>
      <c r="AB10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1">
        <f>IF(tblOrdenes[[#This Row],[orden]]="","",_xlfn.XLOOKUP(tblOrdenes[[#This Row],[id_operacion]],tblEjecucion[id_operacion],tblEjecucion[precio],0))</f>
        <v/>
      </c>
      <c r="AJ1007" s="11">
        <f>IF(tblOrdenes[[#This Row],[orden]]="","",MAX(0,_xlfn.XLOOKUP(tblOrdenes[[#This Row],[id_operacion]],tblEjecucion[id_operacion],tblEjecucion[costo_plan_total],0)-tblOrdenes[[#This Row],[costo_servicio]]))</f>
        <v/>
      </c>
      <c r="AK1007" s="11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3">
        <f>IF(tblOrdenes[[#This Row],[fecha_inicio]]="","",TODAY()-tblOrdenes[[#This Row],[fecha_inicio]])</f>
        <v/>
      </c>
      <c r="AB10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1">
        <f>IF(tblOrdenes[[#This Row],[orden]]="","",_xlfn.XLOOKUP(tblOrdenes[[#This Row],[id_operacion]],tblEjecucion[id_operacion],tblEjecucion[precio],0))</f>
        <v/>
      </c>
      <c r="AJ1008" s="11">
        <f>IF(tblOrdenes[[#This Row],[orden]]="","",MAX(0,_xlfn.XLOOKUP(tblOrdenes[[#This Row],[id_operacion]],tblEjecucion[id_operacion],tblEjecucion[costo_plan_total],0)-tblOrdenes[[#This Row],[costo_servicio]]))</f>
        <v/>
      </c>
      <c r="AK1008" s="11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3">
        <f>IF(tblOrdenes[[#This Row],[fecha_inicio]]="","",TODAY()-tblOrdenes[[#This Row],[fecha_inicio]])</f>
        <v/>
      </c>
      <c r="AB10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1">
        <f>IF(tblOrdenes[[#This Row],[orden]]="","",_xlfn.XLOOKUP(tblOrdenes[[#This Row],[id_operacion]],tblEjecucion[id_operacion],tblEjecucion[precio],0))</f>
        <v/>
      </c>
      <c r="AJ1009" s="11">
        <f>IF(tblOrdenes[[#This Row],[orden]]="","",MAX(0,_xlfn.XLOOKUP(tblOrdenes[[#This Row],[id_operacion]],tblEjecucion[id_operacion],tblEjecucion[costo_plan_total],0)-tblOrdenes[[#This Row],[costo_servicio]]))</f>
        <v/>
      </c>
      <c r="AK1009" s="11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3">
        <f>IF(tblOrdenes[[#This Row],[fecha_inicio]]="","",TODAY()-tblOrdenes[[#This Row],[fecha_inicio]])</f>
        <v/>
      </c>
      <c r="AB10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1">
        <f>IF(tblOrdenes[[#This Row],[orden]]="","",_xlfn.XLOOKUP(tblOrdenes[[#This Row],[id_operacion]],tblEjecucion[id_operacion],tblEjecucion[precio],0))</f>
        <v/>
      </c>
      <c r="AJ1010" s="11">
        <f>IF(tblOrdenes[[#This Row],[orden]]="","",MAX(0,_xlfn.XLOOKUP(tblOrdenes[[#This Row],[id_operacion]],tblEjecucion[id_operacion],tblEjecucion[costo_plan_total],0)-tblOrdenes[[#This Row],[costo_servicio]]))</f>
        <v/>
      </c>
      <c r="AK1010" s="11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3">
        <f>IF(tblOrdenes[[#This Row],[fecha_inicio]]="","",TODAY()-tblOrdenes[[#This Row],[fecha_inicio]])</f>
        <v/>
      </c>
      <c r="AB10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1">
        <f>IF(tblOrdenes[[#This Row],[orden]]="","",_xlfn.XLOOKUP(tblOrdenes[[#This Row],[id_operacion]],tblEjecucion[id_operacion],tblEjecucion[precio],0))</f>
        <v/>
      </c>
      <c r="AJ1011" s="11">
        <f>IF(tblOrdenes[[#This Row],[orden]]="","",MAX(0,_xlfn.XLOOKUP(tblOrdenes[[#This Row],[id_operacion]],tblEjecucion[id_operacion],tblEjecucion[costo_plan_total],0)-tblOrdenes[[#This Row],[costo_servicio]]))</f>
        <v/>
      </c>
      <c r="AK1011" s="11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3">
        <f>IF(tblOrdenes[[#This Row],[fecha_inicio]]="","",TODAY()-tblOrdenes[[#This Row],[fecha_inicio]])</f>
        <v/>
      </c>
      <c r="AB10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1">
        <f>IF(tblOrdenes[[#This Row],[orden]]="","",_xlfn.XLOOKUP(tblOrdenes[[#This Row],[id_operacion]],tblEjecucion[id_operacion],tblEjecucion[precio],0))</f>
        <v/>
      </c>
      <c r="AJ1012" s="11">
        <f>IF(tblOrdenes[[#This Row],[orden]]="","",MAX(0,_xlfn.XLOOKUP(tblOrdenes[[#This Row],[id_operacion]],tblEjecucion[id_operacion],tblEjecucion[costo_plan_total],0)-tblOrdenes[[#This Row],[costo_servicio]]))</f>
        <v/>
      </c>
      <c r="AK1012" s="11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3">
        <f>IF(tblOrdenes[[#This Row],[fecha_inicio]]="","",TODAY()-tblOrdenes[[#This Row],[fecha_inicio]])</f>
        <v/>
      </c>
      <c r="AB10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1">
        <f>IF(tblOrdenes[[#This Row],[orden]]="","",_xlfn.XLOOKUP(tblOrdenes[[#This Row],[id_operacion]],tblEjecucion[id_operacion],tblEjecucion[precio],0))</f>
        <v/>
      </c>
      <c r="AJ1013" s="11">
        <f>IF(tblOrdenes[[#This Row],[orden]]="","",MAX(0,_xlfn.XLOOKUP(tblOrdenes[[#This Row],[id_operacion]],tblEjecucion[id_operacion],tblEjecucion[costo_plan_total],0)-tblOrdenes[[#This Row],[costo_servicio]]))</f>
        <v/>
      </c>
      <c r="AK1013" s="11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3">
        <f>IF(tblOrdenes[[#This Row],[fecha_inicio]]="","",TODAY()-tblOrdenes[[#This Row],[fecha_inicio]])</f>
        <v/>
      </c>
      <c r="AB10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1">
        <f>IF(tblOrdenes[[#This Row],[orden]]="","",_xlfn.XLOOKUP(tblOrdenes[[#This Row],[id_operacion]],tblEjecucion[id_operacion],tblEjecucion[precio],0))</f>
        <v/>
      </c>
      <c r="AJ1014" s="11">
        <f>IF(tblOrdenes[[#This Row],[orden]]="","",MAX(0,_xlfn.XLOOKUP(tblOrdenes[[#This Row],[id_operacion]],tblEjecucion[id_operacion],tblEjecucion[costo_plan_total],0)-tblOrdenes[[#This Row],[costo_servicio]]))</f>
        <v/>
      </c>
      <c r="AK1014" s="11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3">
        <f>IF(tblOrdenes[[#This Row],[fecha_inicio]]="","",TODAY()-tblOrdenes[[#This Row],[fecha_inicio]])</f>
        <v/>
      </c>
      <c r="AB10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1">
        <f>IF(tblOrdenes[[#This Row],[orden]]="","",_xlfn.XLOOKUP(tblOrdenes[[#This Row],[id_operacion]],tblEjecucion[id_operacion],tblEjecucion[precio],0))</f>
        <v/>
      </c>
      <c r="AJ1015" s="11">
        <f>IF(tblOrdenes[[#This Row],[orden]]="","",MAX(0,_xlfn.XLOOKUP(tblOrdenes[[#This Row],[id_operacion]],tblEjecucion[id_operacion],tblEjecucion[costo_plan_total],0)-tblOrdenes[[#This Row],[costo_servicio]]))</f>
        <v/>
      </c>
      <c r="AK1015" s="11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3">
        <f>IF(tblOrdenes[[#This Row],[fecha_inicio]]="","",TODAY()-tblOrdenes[[#This Row],[fecha_inicio]])</f>
        <v/>
      </c>
      <c r="AB10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1">
        <f>IF(tblOrdenes[[#This Row],[orden]]="","",_xlfn.XLOOKUP(tblOrdenes[[#This Row],[id_operacion]],tblEjecucion[id_operacion],tblEjecucion[precio],0))</f>
        <v/>
      </c>
      <c r="AJ1016" s="11">
        <f>IF(tblOrdenes[[#This Row],[orden]]="","",MAX(0,_xlfn.XLOOKUP(tblOrdenes[[#This Row],[id_operacion]],tblEjecucion[id_operacion],tblEjecucion[costo_plan_total],0)-tblOrdenes[[#This Row],[costo_servicio]]))</f>
        <v/>
      </c>
      <c r="AK1016" s="11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3">
        <f>IF(tblOrdenes[[#This Row],[fecha_inicio]]="","",TODAY()-tblOrdenes[[#This Row],[fecha_inicio]])</f>
        <v/>
      </c>
      <c r="AB10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1">
        <f>IF(tblOrdenes[[#This Row],[orden]]="","",_xlfn.XLOOKUP(tblOrdenes[[#This Row],[id_operacion]],tblEjecucion[id_operacion],tblEjecucion[precio],0))</f>
        <v/>
      </c>
      <c r="AJ1017" s="11">
        <f>IF(tblOrdenes[[#This Row],[orden]]="","",MAX(0,_xlfn.XLOOKUP(tblOrdenes[[#This Row],[id_operacion]],tblEjecucion[id_operacion],tblEjecucion[costo_plan_total],0)-tblOrdenes[[#This Row],[costo_servicio]]))</f>
        <v/>
      </c>
      <c r="AK1017" s="11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3">
        <f>IF(tblOrdenes[[#This Row],[fecha_inicio]]="","",TODAY()-tblOrdenes[[#This Row],[fecha_inicio]])</f>
        <v/>
      </c>
      <c r="AB10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1">
        <f>IF(tblOrdenes[[#This Row],[orden]]="","",_xlfn.XLOOKUP(tblOrdenes[[#This Row],[id_operacion]],tblEjecucion[id_operacion],tblEjecucion[precio],0))</f>
        <v/>
      </c>
      <c r="AJ1018" s="11">
        <f>IF(tblOrdenes[[#This Row],[orden]]="","",MAX(0,_xlfn.XLOOKUP(tblOrdenes[[#This Row],[id_operacion]],tblEjecucion[id_operacion],tblEjecucion[costo_plan_total],0)-tblOrdenes[[#This Row],[costo_servicio]]))</f>
        <v/>
      </c>
      <c r="AK1018" s="11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3">
        <f>IF(tblOrdenes[[#This Row],[fecha_inicio]]="","",TODAY()-tblOrdenes[[#This Row],[fecha_inicio]])</f>
        <v/>
      </c>
      <c r="AB10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1">
        <f>IF(tblOrdenes[[#This Row],[orden]]="","",_xlfn.XLOOKUP(tblOrdenes[[#This Row],[id_operacion]],tblEjecucion[id_operacion],tblEjecucion[precio],0))</f>
        <v/>
      </c>
      <c r="AJ1019" s="11">
        <f>IF(tblOrdenes[[#This Row],[orden]]="","",MAX(0,_xlfn.XLOOKUP(tblOrdenes[[#This Row],[id_operacion]],tblEjecucion[id_operacion],tblEjecucion[costo_plan_total],0)-tblOrdenes[[#This Row],[costo_servicio]]))</f>
        <v/>
      </c>
      <c r="AK1019" s="11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3">
        <f>IF(tblOrdenes[[#This Row],[fecha_inicio]]="","",TODAY()-tblOrdenes[[#This Row],[fecha_inicio]])</f>
        <v/>
      </c>
      <c r="AB10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1">
        <f>IF(tblOrdenes[[#This Row],[orden]]="","",_xlfn.XLOOKUP(tblOrdenes[[#This Row],[id_operacion]],tblEjecucion[id_operacion],tblEjecucion[precio],0))</f>
        <v/>
      </c>
      <c r="AJ1020" s="11">
        <f>IF(tblOrdenes[[#This Row],[orden]]="","",MAX(0,_xlfn.XLOOKUP(tblOrdenes[[#This Row],[id_operacion]],tblEjecucion[id_operacion],tblEjecucion[costo_plan_total],0)-tblOrdenes[[#This Row],[costo_servicio]]))</f>
        <v/>
      </c>
      <c r="AK1020" s="11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3">
        <f>IF(tblOrdenes[[#This Row],[fecha_inicio]]="","",TODAY()-tblOrdenes[[#This Row],[fecha_inicio]])</f>
        <v/>
      </c>
      <c r="AB10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1">
        <f>IF(tblOrdenes[[#This Row],[orden]]="","",_xlfn.XLOOKUP(tblOrdenes[[#This Row],[id_operacion]],tblEjecucion[id_operacion],tblEjecucion[precio],0))</f>
        <v/>
      </c>
      <c r="AJ1021" s="11">
        <f>IF(tblOrdenes[[#This Row],[orden]]="","",MAX(0,_xlfn.XLOOKUP(tblOrdenes[[#This Row],[id_operacion]],tblEjecucion[id_operacion],tblEjecucion[costo_plan_total],0)-tblOrdenes[[#This Row],[costo_servicio]]))</f>
        <v/>
      </c>
      <c r="AK1021" s="11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3">
        <f>IF(tblOrdenes[[#This Row],[fecha_inicio]]="","",TODAY()-tblOrdenes[[#This Row],[fecha_inicio]])</f>
        <v/>
      </c>
      <c r="AB10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1">
        <f>IF(tblOrdenes[[#This Row],[orden]]="","",_xlfn.XLOOKUP(tblOrdenes[[#This Row],[id_operacion]],tblEjecucion[id_operacion],tblEjecucion[precio],0))</f>
        <v/>
      </c>
      <c r="AJ1022" s="11">
        <f>IF(tblOrdenes[[#This Row],[orden]]="","",MAX(0,_xlfn.XLOOKUP(tblOrdenes[[#This Row],[id_operacion]],tblEjecucion[id_operacion],tblEjecucion[costo_plan_total],0)-tblOrdenes[[#This Row],[costo_servicio]]))</f>
        <v/>
      </c>
      <c r="AK1022" s="11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3">
        <f>IF(tblOrdenes[[#This Row],[fecha_inicio]]="","",TODAY()-tblOrdenes[[#This Row],[fecha_inicio]])</f>
        <v/>
      </c>
      <c r="AB10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1">
        <f>IF(tblOrdenes[[#This Row],[orden]]="","",_xlfn.XLOOKUP(tblOrdenes[[#This Row],[id_operacion]],tblEjecucion[id_operacion],tblEjecucion[precio],0))</f>
        <v/>
      </c>
      <c r="AJ1023" s="11">
        <f>IF(tblOrdenes[[#This Row],[orden]]="","",MAX(0,_xlfn.XLOOKUP(tblOrdenes[[#This Row],[id_operacion]],tblEjecucion[id_operacion],tblEjecucion[costo_plan_total],0)-tblOrdenes[[#This Row],[costo_servicio]]))</f>
        <v/>
      </c>
      <c r="AK1023" s="11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3">
        <f>IF(tblOrdenes[[#This Row],[fecha_inicio]]="","",TODAY()-tblOrdenes[[#This Row],[fecha_inicio]])</f>
        <v/>
      </c>
      <c r="AB10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1">
        <f>IF(tblOrdenes[[#This Row],[orden]]="","",_xlfn.XLOOKUP(tblOrdenes[[#This Row],[id_operacion]],tblEjecucion[id_operacion],tblEjecucion[precio],0))</f>
        <v/>
      </c>
      <c r="AJ1024" s="11">
        <f>IF(tblOrdenes[[#This Row],[orden]]="","",MAX(0,_xlfn.XLOOKUP(tblOrdenes[[#This Row],[id_operacion]],tblEjecucion[id_operacion],tblEjecucion[costo_plan_total],0)-tblOrdenes[[#This Row],[costo_servicio]]))</f>
        <v/>
      </c>
      <c r="AK1024" s="11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3">
        <f>IF(tblOrdenes[[#This Row],[fecha_inicio]]="","",TODAY()-tblOrdenes[[#This Row],[fecha_inicio]])</f>
        <v/>
      </c>
      <c r="AB10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1">
        <f>IF(tblOrdenes[[#This Row],[orden]]="","",_xlfn.XLOOKUP(tblOrdenes[[#This Row],[id_operacion]],tblEjecucion[id_operacion],tblEjecucion[precio],0))</f>
        <v/>
      </c>
      <c r="AJ1025" s="11">
        <f>IF(tblOrdenes[[#This Row],[orden]]="","",MAX(0,_xlfn.XLOOKUP(tblOrdenes[[#This Row],[id_operacion]],tblEjecucion[id_operacion],tblEjecucion[costo_plan_total],0)-tblOrdenes[[#This Row],[costo_servicio]]))</f>
        <v/>
      </c>
      <c r="AK1025" s="11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3">
        <f>IF(tblOrdenes[[#This Row],[fecha_inicio]]="","",TODAY()-tblOrdenes[[#This Row],[fecha_inicio]])</f>
        <v/>
      </c>
      <c r="AB10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1">
        <f>IF(tblOrdenes[[#This Row],[orden]]="","",_xlfn.XLOOKUP(tblOrdenes[[#This Row],[id_operacion]],tblEjecucion[id_operacion],tblEjecucion[precio],0))</f>
        <v/>
      </c>
      <c r="AJ1026" s="11">
        <f>IF(tblOrdenes[[#This Row],[orden]]="","",MAX(0,_xlfn.XLOOKUP(tblOrdenes[[#This Row],[id_operacion]],tblEjecucion[id_operacion],tblEjecucion[costo_plan_total],0)-tblOrdenes[[#This Row],[costo_servicio]]))</f>
        <v/>
      </c>
      <c r="AK1026" s="11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3">
        <f>IF(tblOrdenes[[#This Row],[fecha_inicio]]="","",TODAY()-tblOrdenes[[#This Row],[fecha_inicio]])</f>
        <v/>
      </c>
      <c r="AB10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1">
        <f>IF(tblOrdenes[[#This Row],[orden]]="","",_xlfn.XLOOKUP(tblOrdenes[[#This Row],[id_operacion]],tblEjecucion[id_operacion],tblEjecucion[precio],0))</f>
        <v/>
      </c>
      <c r="AJ1027" s="11">
        <f>IF(tblOrdenes[[#This Row],[orden]]="","",MAX(0,_xlfn.XLOOKUP(tblOrdenes[[#This Row],[id_operacion]],tblEjecucion[id_operacion],tblEjecucion[costo_plan_total],0)-tblOrdenes[[#This Row],[costo_servicio]]))</f>
        <v/>
      </c>
      <c r="AK1027" s="11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3">
        <f>IF(tblOrdenes[[#This Row],[fecha_inicio]]="","",TODAY()-tblOrdenes[[#This Row],[fecha_inicio]])</f>
        <v/>
      </c>
      <c r="AB10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1">
        <f>IF(tblOrdenes[[#This Row],[orden]]="","",_xlfn.XLOOKUP(tblOrdenes[[#This Row],[id_operacion]],tblEjecucion[id_operacion],tblEjecucion[precio],0))</f>
        <v/>
      </c>
      <c r="AJ1028" s="11">
        <f>IF(tblOrdenes[[#This Row],[orden]]="","",MAX(0,_xlfn.XLOOKUP(tblOrdenes[[#This Row],[id_operacion]],tblEjecucion[id_operacion],tblEjecucion[costo_plan_total],0)-tblOrdenes[[#This Row],[costo_servicio]]))</f>
        <v/>
      </c>
      <c r="AK1028" s="11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3">
        <f>IF(tblOrdenes[[#This Row],[fecha_inicio]]="","",TODAY()-tblOrdenes[[#This Row],[fecha_inicio]])</f>
        <v/>
      </c>
      <c r="AB10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1">
        <f>IF(tblOrdenes[[#This Row],[orden]]="","",_xlfn.XLOOKUP(tblOrdenes[[#This Row],[id_operacion]],tblEjecucion[id_operacion],tblEjecucion[precio],0))</f>
        <v/>
      </c>
      <c r="AJ1029" s="11">
        <f>IF(tblOrdenes[[#This Row],[orden]]="","",MAX(0,_xlfn.XLOOKUP(tblOrdenes[[#This Row],[id_operacion]],tblEjecucion[id_operacion],tblEjecucion[costo_plan_total],0)-tblOrdenes[[#This Row],[costo_servicio]]))</f>
        <v/>
      </c>
      <c r="AK1029" s="11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3">
        <f>IF(tblOrdenes[[#This Row],[fecha_inicio]]="","",TODAY()-tblOrdenes[[#This Row],[fecha_inicio]])</f>
        <v/>
      </c>
      <c r="AB10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1">
        <f>IF(tblOrdenes[[#This Row],[orden]]="","",_xlfn.XLOOKUP(tblOrdenes[[#This Row],[id_operacion]],tblEjecucion[id_operacion],tblEjecucion[precio],0))</f>
        <v/>
      </c>
      <c r="AJ1030" s="11">
        <f>IF(tblOrdenes[[#This Row],[orden]]="","",MAX(0,_xlfn.XLOOKUP(tblOrdenes[[#This Row],[id_operacion]],tblEjecucion[id_operacion],tblEjecucion[costo_plan_total],0)-tblOrdenes[[#This Row],[costo_servicio]]))</f>
        <v/>
      </c>
      <c r="AK1030" s="11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3">
        <f>IF(tblOrdenes[[#This Row],[fecha_inicio]]="","",TODAY()-tblOrdenes[[#This Row],[fecha_inicio]])</f>
        <v/>
      </c>
      <c r="AB10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1">
        <f>IF(tblOrdenes[[#This Row],[orden]]="","",_xlfn.XLOOKUP(tblOrdenes[[#This Row],[id_operacion]],tblEjecucion[id_operacion],tblEjecucion[precio],0))</f>
        <v/>
      </c>
      <c r="AJ1031" s="11">
        <f>IF(tblOrdenes[[#This Row],[orden]]="","",MAX(0,_xlfn.XLOOKUP(tblOrdenes[[#This Row],[id_operacion]],tblEjecucion[id_operacion],tblEjecucion[costo_plan_total],0)-tblOrdenes[[#This Row],[costo_servicio]]))</f>
        <v/>
      </c>
      <c r="AK1031" s="11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3">
        <f>IF(tblOrdenes[[#This Row],[fecha_inicio]]="","",TODAY()-tblOrdenes[[#This Row],[fecha_inicio]])</f>
        <v/>
      </c>
      <c r="AB10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1">
        <f>IF(tblOrdenes[[#This Row],[orden]]="","",_xlfn.XLOOKUP(tblOrdenes[[#This Row],[id_operacion]],tblEjecucion[id_operacion],tblEjecucion[precio],0))</f>
        <v/>
      </c>
      <c r="AJ1032" s="11">
        <f>IF(tblOrdenes[[#This Row],[orden]]="","",MAX(0,_xlfn.XLOOKUP(tblOrdenes[[#This Row],[id_operacion]],tblEjecucion[id_operacion],tblEjecucion[costo_plan_total],0)-tblOrdenes[[#This Row],[costo_servicio]]))</f>
        <v/>
      </c>
      <c r="AK1032" s="11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3">
        <f>IF(tblOrdenes[[#This Row],[fecha_inicio]]="","",TODAY()-tblOrdenes[[#This Row],[fecha_inicio]])</f>
        <v/>
      </c>
      <c r="AB10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1">
        <f>IF(tblOrdenes[[#This Row],[orden]]="","",_xlfn.XLOOKUP(tblOrdenes[[#This Row],[id_operacion]],tblEjecucion[id_operacion],tblEjecucion[precio],0))</f>
        <v/>
      </c>
      <c r="AJ1033" s="11">
        <f>IF(tblOrdenes[[#This Row],[orden]]="","",MAX(0,_xlfn.XLOOKUP(tblOrdenes[[#This Row],[id_operacion]],tblEjecucion[id_operacion],tblEjecucion[costo_plan_total],0)-tblOrdenes[[#This Row],[costo_servicio]]))</f>
        <v/>
      </c>
      <c r="AK1033" s="11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3">
        <f>IF(tblOrdenes[[#This Row],[fecha_inicio]]="","",TODAY()-tblOrdenes[[#This Row],[fecha_inicio]])</f>
        <v/>
      </c>
      <c r="AB10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1">
        <f>IF(tblOrdenes[[#This Row],[orden]]="","",_xlfn.XLOOKUP(tblOrdenes[[#This Row],[id_operacion]],tblEjecucion[id_operacion],tblEjecucion[precio],0))</f>
        <v/>
      </c>
      <c r="AJ1034" s="11">
        <f>IF(tblOrdenes[[#This Row],[orden]]="","",MAX(0,_xlfn.XLOOKUP(tblOrdenes[[#This Row],[id_operacion]],tblEjecucion[id_operacion],tblEjecucion[costo_plan_total],0)-tblOrdenes[[#This Row],[costo_servicio]]))</f>
        <v/>
      </c>
      <c r="AK1034" s="11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3">
        <f>IF(tblOrdenes[[#This Row],[fecha_inicio]]="","",TODAY()-tblOrdenes[[#This Row],[fecha_inicio]])</f>
        <v/>
      </c>
      <c r="AB10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1">
        <f>IF(tblOrdenes[[#This Row],[orden]]="","",_xlfn.XLOOKUP(tblOrdenes[[#This Row],[id_operacion]],tblEjecucion[id_operacion],tblEjecucion[precio],0))</f>
        <v/>
      </c>
      <c r="AJ1035" s="11">
        <f>IF(tblOrdenes[[#This Row],[orden]]="","",MAX(0,_xlfn.XLOOKUP(tblOrdenes[[#This Row],[id_operacion]],tblEjecucion[id_operacion],tblEjecucion[costo_plan_total],0)-tblOrdenes[[#This Row],[costo_servicio]]))</f>
        <v/>
      </c>
      <c r="AK1035" s="11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3">
        <f>IF(tblOrdenes[[#This Row],[fecha_inicio]]="","",TODAY()-tblOrdenes[[#This Row],[fecha_inicio]])</f>
        <v/>
      </c>
      <c r="AB10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1">
        <f>IF(tblOrdenes[[#This Row],[orden]]="","",_xlfn.XLOOKUP(tblOrdenes[[#This Row],[id_operacion]],tblEjecucion[id_operacion],tblEjecucion[precio],0))</f>
        <v/>
      </c>
      <c r="AJ1036" s="11">
        <f>IF(tblOrdenes[[#This Row],[orden]]="","",MAX(0,_xlfn.XLOOKUP(tblOrdenes[[#This Row],[id_operacion]],tblEjecucion[id_operacion],tblEjecucion[costo_plan_total],0)-tblOrdenes[[#This Row],[costo_servicio]]))</f>
        <v/>
      </c>
      <c r="AK1036" s="11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3">
        <f>IF(tblOrdenes[[#This Row],[fecha_inicio]]="","",TODAY()-tblOrdenes[[#This Row],[fecha_inicio]])</f>
        <v/>
      </c>
      <c r="AB10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1">
        <f>IF(tblOrdenes[[#This Row],[orden]]="","",_xlfn.XLOOKUP(tblOrdenes[[#This Row],[id_operacion]],tblEjecucion[id_operacion],tblEjecucion[precio],0))</f>
        <v/>
      </c>
      <c r="AJ1037" s="11">
        <f>IF(tblOrdenes[[#This Row],[orden]]="","",MAX(0,_xlfn.XLOOKUP(tblOrdenes[[#This Row],[id_operacion]],tblEjecucion[id_operacion],tblEjecucion[costo_plan_total],0)-tblOrdenes[[#This Row],[costo_servicio]]))</f>
        <v/>
      </c>
      <c r="AK1037" s="11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3">
        <f>IF(tblOrdenes[[#This Row],[fecha_inicio]]="","",TODAY()-tblOrdenes[[#This Row],[fecha_inicio]])</f>
        <v/>
      </c>
      <c r="AB10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1">
        <f>IF(tblOrdenes[[#This Row],[orden]]="","",_xlfn.XLOOKUP(tblOrdenes[[#This Row],[id_operacion]],tblEjecucion[id_operacion],tblEjecucion[precio],0))</f>
        <v/>
      </c>
      <c r="AJ1038" s="11">
        <f>IF(tblOrdenes[[#This Row],[orden]]="","",MAX(0,_xlfn.XLOOKUP(tblOrdenes[[#This Row],[id_operacion]],tblEjecucion[id_operacion],tblEjecucion[costo_plan_total],0)-tblOrdenes[[#This Row],[costo_servicio]]))</f>
        <v/>
      </c>
      <c r="AK1038" s="11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3">
        <f>IF(tblOrdenes[[#This Row],[fecha_inicio]]="","",TODAY()-tblOrdenes[[#This Row],[fecha_inicio]])</f>
        <v/>
      </c>
      <c r="AB10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1">
        <f>IF(tblOrdenes[[#This Row],[orden]]="","",_xlfn.XLOOKUP(tblOrdenes[[#This Row],[id_operacion]],tblEjecucion[id_operacion],tblEjecucion[precio],0))</f>
        <v/>
      </c>
      <c r="AJ1039" s="11">
        <f>IF(tblOrdenes[[#This Row],[orden]]="","",MAX(0,_xlfn.XLOOKUP(tblOrdenes[[#This Row],[id_operacion]],tblEjecucion[id_operacion],tblEjecucion[costo_plan_total],0)-tblOrdenes[[#This Row],[costo_servicio]]))</f>
        <v/>
      </c>
      <c r="AK1039" s="11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3">
        <f>IF(tblOrdenes[[#This Row],[fecha_inicio]]="","",TODAY()-tblOrdenes[[#This Row],[fecha_inicio]])</f>
        <v/>
      </c>
      <c r="AB10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1">
        <f>IF(tblOrdenes[[#This Row],[orden]]="","",_xlfn.XLOOKUP(tblOrdenes[[#This Row],[id_operacion]],tblEjecucion[id_operacion],tblEjecucion[precio],0))</f>
        <v/>
      </c>
      <c r="AJ1040" s="11">
        <f>IF(tblOrdenes[[#This Row],[orden]]="","",MAX(0,_xlfn.XLOOKUP(tblOrdenes[[#This Row],[id_operacion]],tblEjecucion[id_operacion],tblEjecucion[costo_plan_total],0)-tblOrdenes[[#This Row],[costo_servicio]]))</f>
        <v/>
      </c>
      <c r="AK1040" s="11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3">
        <f>IF(tblOrdenes[[#This Row],[fecha_inicio]]="","",TODAY()-tblOrdenes[[#This Row],[fecha_inicio]])</f>
        <v/>
      </c>
      <c r="AB10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1">
        <f>IF(tblOrdenes[[#This Row],[orden]]="","",_xlfn.XLOOKUP(tblOrdenes[[#This Row],[id_operacion]],tblEjecucion[id_operacion],tblEjecucion[precio],0))</f>
        <v/>
      </c>
      <c r="AJ1041" s="11">
        <f>IF(tblOrdenes[[#This Row],[orden]]="","",MAX(0,_xlfn.XLOOKUP(tblOrdenes[[#This Row],[id_operacion]],tblEjecucion[id_operacion],tblEjecucion[costo_plan_total],0)-tblOrdenes[[#This Row],[costo_servicio]]))</f>
        <v/>
      </c>
      <c r="AK1041" s="11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3">
        <f>IF(tblOrdenes[[#This Row],[fecha_inicio]]="","",TODAY()-tblOrdenes[[#This Row],[fecha_inicio]])</f>
        <v/>
      </c>
      <c r="AB10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1">
        <f>IF(tblOrdenes[[#This Row],[orden]]="","",_xlfn.XLOOKUP(tblOrdenes[[#This Row],[id_operacion]],tblEjecucion[id_operacion],tblEjecucion[precio],0))</f>
        <v/>
      </c>
      <c r="AJ1042" s="11">
        <f>IF(tblOrdenes[[#This Row],[orden]]="","",MAX(0,_xlfn.XLOOKUP(tblOrdenes[[#This Row],[id_operacion]],tblEjecucion[id_operacion],tblEjecucion[costo_plan_total],0)-tblOrdenes[[#This Row],[costo_servicio]]))</f>
        <v/>
      </c>
      <c r="AK1042" s="11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3">
        <f>IF(tblOrdenes[[#This Row],[fecha_inicio]]="","",TODAY()-tblOrdenes[[#This Row],[fecha_inicio]])</f>
        <v/>
      </c>
      <c r="AB10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1">
        <f>IF(tblOrdenes[[#This Row],[orden]]="","",_xlfn.XLOOKUP(tblOrdenes[[#This Row],[id_operacion]],tblEjecucion[id_operacion],tblEjecucion[precio],0))</f>
        <v/>
      </c>
      <c r="AJ1043" s="11">
        <f>IF(tblOrdenes[[#This Row],[orden]]="","",MAX(0,_xlfn.XLOOKUP(tblOrdenes[[#This Row],[id_operacion]],tblEjecucion[id_operacion],tblEjecucion[costo_plan_total],0)-tblOrdenes[[#This Row],[costo_servicio]]))</f>
        <v/>
      </c>
      <c r="AK1043" s="11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3">
        <f>IF(tblOrdenes[[#This Row],[fecha_inicio]]="","",TODAY()-tblOrdenes[[#This Row],[fecha_inicio]])</f>
        <v/>
      </c>
      <c r="AB10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1">
        <f>IF(tblOrdenes[[#This Row],[orden]]="","",_xlfn.XLOOKUP(tblOrdenes[[#This Row],[id_operacion]],tblEjecucion[id_operacion],tblEjecucion[precio],0))</f>
        <v/>
      </c>
      <c r="AJ1044" s="11">
        <f>IF(tblOrdenes[[#This Row],[orden]]="","",MAX(0,_xlfn.XLOOKUP(tblOrdenes[[#This Row],[id_operacion]],tblEjecucion[id_operacion],tblEjecucion[costo_plan_total],0)-tblOrdenes[[#This Row],[costo_servicio]]))</f>
        <v/>
      </c>
      <c r="AK1044" s="11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3">
        <f>IF(tblOrdenes[[#This Row],[fecha_inicio]]="","",TODAY()-tblOrdenes[[#This Row],[fecha_inicio]])</f>
        <v/>
      </c>
      <c r="AB10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1">
        <f>IF(tblOrdenes[[#This Row],[orden]]="","",_xlfn.XLOOKUP(tblOrdenes[[#This Row],[id_operacion]],tblEjecucion[id_operacion],tblEjecucion[precio],0))</f>
        <v/>
      </c>
      <c r="AJ1045" s="11">
        <f>IF(tblOrdenes[[#This Row],[orden]]="","",MAX(0,_xlfn.XLOOKUP(tblOrdenes[[#This Row],[id_operacion]],tblEjecucion[id_operacion],tblEjecucion[costo_plan_total],0)-tblOrdenes[[#This Row],[costo_servicio]]))</f>
        <v/>
      </c>
      <c r="AK1045" s="11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3">
        <f>IF(tblOrdenes[[#This Row],[fecha_inicio]]="","",TODAY()-tblOrdenes[[#This Row],[fecha_inicio]])</f>
        <v/>
      </c>
      <c r="AB10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1">
        <f>IF(tblOrdenes[[#This Row],[orden]]="","",_xlfn.XLOOKUP(tblOrdenes[[#This Row],[id_operacion]],tblEjecucion[id_operacion],tblEjecucion[precio],0))</f>
        <v/>
      </c>
      <c r="AJ1046" s="11">
        <f>IF(tblOrdenes[[#This Row],[orden]]="","",MAX(0,_xlfn.XLOOKUP(tblOrdenes[[#This Row],[id_operacion]],tblEjecucion[id_operacion],tblEjecucion[costo_plan_total],0)-tblOrdenes[[#This Row],[costo_servicio]]))</f>
        <v/>
      </c>
      <c r="AK1046" s="11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3">
        <f>IF(tblOrdenes[[#This Row],[fecha_inicio]]="","",TODAY()-tblOrdenes[[#This Row],[fecha_inicio]])</f>
        <v/>
      </c>
      <c r="AB10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1">
        <f>IF(tblOrdenes[[#This Row],[orden]]="","",_xlfn.XLOOKUP(tblOrdenes[[#This Row],[id_operacion]],tblEjecucion[id_operacion],tblEjecucion[precio],0))</f>
        <v/>
      </c>
      <c r="AJ1047" s="11">
        <f>IF(tblOrdenes[[#This Row],[orden]]="","",MAX(0,_xlfn.XLOOKUP(tblOrdenes[[#This Row],[id_operacion]],tblEjecucion[id_operacion],tblEjecucion[costo_plan_total],0)-tblOrdenes[[#This Row],[costo_servicio]]))</f>
        <v/>
      </c>
      <c r="AK1047" s="11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3">
        <f>IF(tblOrdenes[[#This Row],[fecha_inicio]]="","",TODAY()-tblOrdenes[[#This Row],[fecha_inicio]])</f>
        <v/>
      </c>
      <c r="AB10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1">
        <f>IF(tblOrdenes[[#This Row],[orden]]="","",_xlfn.XLOOKUP(tblOrdenes[[#This Row],[id_operacion]],tblEjecucion[id_operacion],tblEjecucion[precio],0))</f>
        <v/>
      </c>
      <c r="AJ1048" s="11">
        <f>IF(tblOrdenes[[#This Row],[orden]]="","",MAX(0,_xlfn.XLOOKUP(tblOrdenes[[#This Row],[id_operacion]],tblEjecucion[id_operacion],tblEjecucion[costo_plan_total],0)-tblOrdenes[[#This Row],[costo_servicio]]))</f>
        <v/>
      </c>
      <c r="AK1048" s="11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3">
        <f>IF(tblOrdenes[[#This Row],[fecha_inicio]]="","",TODAY()-tblOrdenes[[#This Row],[fecha_inicio]])</f>
        <v/>
      </c>
      <c r="AB10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1">
        <f>IF(tblOrdenes[[#This Row],[orden]]="","",_xlfn.XLOOKUP(tblOrdenes[[#This Row],[id_operacion]],tblEjecucion[id_operacion],tblEjecucion[precio],0))</f>
        <v/>
      </c>
      <c r="AJ1049" s="11">
        <f>IF(tblOrdenes[[#This Row],[orden]]="","",MAX(0,_xlfn.XLOOKUP(tblOrdenes[[#This Row],[id_operacion]],tblEjecucion[id_operacion],tblEjecucion[costo_plan_total],0)-tblOrdenes[[#This Row],[costo_servicio]]))</f>
        <v/>
      </c>
      <c r="AK1049" s="11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3">
        <f>IF(tblOrdenes[[#This Row],[fecha_inicio]]="","",TODAY()-tblOrdenes[[#This Row],[fecha_inicio]])</f>
        <v/>
      </c>
      <c r="AB10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1">
        <f>IF(tblOrdenes[[#This Row],[orden]]="","",_xlfn.XLOOKUP(tblOrdenes[[#This Row],[id_operacion]],tblEjecucion[id_operacion],tblEjecucion[precio],0))</f>
        <v/>
      </c>
      <c r="AJ1050" s="11">
        <f>IF(tblOrdenes[[#This Row],[orden]]="","",MAX(0,_xlfn.XLOOKUP(tblOrdenes[[#This Row],[id_operacion]],tblEjecucion[id_operacion],tblEjecucion[costo_plan_total],0)-tblOrdenes[[#This Row],[costo_servicio]]))</f>
        <v/>
      </c>
      <c r="AK1050" s="11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3">
        <f>IF(tblOrdenes[[#This Row],[fecha_inicio]]="","",TODAY()-tblOrdenes[[#This Row],[fecha_inicio]])</f>
        <v/>
      </c>
      <c r="AB10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1">
        <f>IF(tblOrdenes[[#This Row],[orden]]="","",_xlfn.XLOOKUP(tblOrdenes[[#This Row],[id_operacion]],tblEjecucion[id_operacion],tblEjecucion[precio],0))</f>
        <v/>
      </c>
      <c r="AJ1051" s="11">
        <f>IF(tblOrdenes[[#This Row],[orden]]="","",MAX(0,_xlfn.XLOOKUP(tblOrdenes[[#This Row],[id_operacion]],tblEjecucion[id_operacion],tblEjecucion[costo_plan_total],0)-tblOrdenes[[#This Row],[costo_servicio]]))</f>
        <v/>
      </c>
      <c r="AK1051" s="11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3">
        <f>IF(tblOrdenes[[#This Row],[fecha_inicio]]="","",TODAY()-tblOrdenes[[#This Row],[fecha_inicio]])</f>
        <v/>
      </c>
      <c r="AB10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1">
        <f>IF(tblOrdenes[[#This Row],[orden]]="","",_xlfn.XLOOKUP(tblOrdenes[[#This Row],[id_operacion]],tblEjecucion[id_operacion],tblEjecucion[precio],0))</f>
        <v/>
      </c>
      <c r="AJ1052" s="11">
        <f>IF(tblOrdenes[[#This Row],[orden]]="","",MAX(0,_xlfn.XLOOKUP(tblOrdenes[[#This Row],[id_operacion]],tblEjecucion[id_operacion],tblEjecucion[costo_plan_total],0)-tblOrdenes[[#This Row],[costo_servicio]]))</f>
        <v/>
      </c>
      <c r="AK1052" s="11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3">
        <f>IF(tblOrdenes[[#This Row],[fecha_inicio]]="","",TODAY()-tblOrdenes[[#This Row],[fecha_inicio]])</f>
        <v/>
      </c>
      <c r="AB10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1">
        <f>IF(tblOrdenes[[#This Row],[orden]]="","",_xlfn.XLOOKUP(tblOrdenes[[#This Row],[id_operacion]],tblEjecucion[id_operacion],tblEjecucion[precio],0))</f>
        <v/>
      </c>
      <c r="AJ1053" s="11">
        <f>IF(tblOrdenes[[#This Row],[orden]]="","",MAX(0,_xlfn.XLOOKUP(tblOrdenes[[#This Row],[id_operacion]],tblEjecucion[id_operacion],tblEjecucion[costo_plan_total],0)-tblOrdenes[[#This Row],[costo_servicio]]))</f>
        <v/>
      </c>
      <c r="AK1053" s="11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3">
        <f>IF(tblOrdenes[[#This Row],[fecha_inicio]]="","",TODAY()-tblOrdenes[[#This Row],[fecha_inicio]])</f>
        <v/>
      </c>
      <c r="AB10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1">
        <f>IF(tblOrdenes[[#This Row],[orden]]="","",_xlfn.XLOOKUP(tblOrdenes[[#This Row],[id_operacion]],tblEjecucion[id_operacion],tblEjecucion[precio],0))</f>
        <v/>
      </c>
      <c r="AJ1054" s="11">
        <f>IF(tblOrdenes[[#This Row],[orden]]="","",MAX(0,_xlfn.XLOOKUP(tblOrdenes[[#This Row],[id_operacion]],tblEjecucion[id_operacion],tblEjecucion[costo_plan_total],0)-tblOrdenes[[#This Row],[costo_servicio]]))</f>
        <v/>
      </c>
      <c r="AK1054" s="11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3">
        <f>IF(tblOrdenes[[#This Row],[fecha_inicio]]="","",TODAY()-tblOrdenes[[#This Row],[fecha_inicio]])</f>
        <v/>
      </c>
      <c r="AB10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1">
        <f>IF(tblOrdenes[[#This Row],[orden]]="","",_xlfn.XLOOKUP(tblOrdenes[[#This Row],[id_operacion]],tblEjecucion[id_operacion],tblEjecucion[precio],0))</f>
        <v/>
      </c>
      <c r="AJ1055" s="11">
        <f>IF(tblOrdenes[[#This Row],[orden]]="","",MAX(0,_xlfn.XLOOKUP(tblOrdenes[[#This Row],[id_operacion]],tblEjecucion[id_operacion],tblEjecucion[costo_plan_total],0)-tblOrdenes[[#This Row],[costo_servicio]]))</f>
        <v/>
      </c>
      <c r="AK1055" s="11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3">
        <f>IF(tblOrdenes[[#This Row],[fecha_inicio]]="","",TODAY()-tblOrdenes[[#This Row],[fecha_inicio]])</f>
        <v/>
      </c>
      <c r="AB10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1">
        <f>IF(tblOrdenes[[#This Row],[orden]]="","",_xlfn.XLOOKUP(tblOrdenes[[#This Row],[id_operacion]],tblEjecucion[id_operacion],tblEjecucion[precio],0))</f>
        <v/>
      </c>
      <c r="AJ1056" s="11">
        <f>IF(tblOrdenes[[#This Row],[orden]]="","",MAX(0,_xlfn.XLOOKUP(tblOrdenes[[#This Row],[id_operacion]],tblEjecucion[id_operacion],tblEjecucion[costo_plan_total],0)-tblOrdenes[[#This Row],[costo_servicio]]))</f>
        <v/>
      </c>
      <c r="AK1056" s="11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3">
        <f>IF(tblOrdenes[[#This Row],[fecha_inicio]]="","",TODAY()-tblOrdenes[[#This Row],[fecha_inicio]])</f>
        <v/>
      </c>
      <c r="AB10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1">
        <f>IF(tblOrdenes[[#This Row],[orden]]="","",_xlfn.XLOOKUP(tblOrdenes[[#This Row],[id_operacion]],tblEjecucion[id_operacion],tblEjecucion[precio],0))</f>
        <v/>
      </c>
      <c r="AJ1057" s="11">
        <f>IF(tblOrdenes[[#This Row],[orden]]="","",MAX(0,_xlfn.XLOOKUP(tblOrdenes[[#This Row],[id_operacion]],tblEjecucion[id_operacion],tblEjecucion[costo_plan_total],0)-tblOrdenes[[#This Row],[costo_servicio]]))</f>
        <v/>
      </c>
      <c r="AK1057" s="11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3">
        <f>IF(tblOrdenes[[#This Row],[fecha_inicio]]="","",TODAY()-tblOrdenes[[#This Row],[fecha_inicio]])</f>
        <v/>
      </c>
      <c r="AB10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1">
        <f>IF(tblOrdenes[[#This Row],[orden]]="","",_xlfn.XLOOKUP(tblOrdenes[[#This Row],[id_operacion]],tblEjecucion[id_operacion],tblEjecucion[precio],0))</f>
        <v/>
      </c>
      <c r="AJ1058" s="11">
        <f>IF(tblOrdenes[[#This Row],[orden]]="","",MAX(0,_xlfn.XLOOKUP(tblOrdenes[[#This Row],[id_operacion]],tblEjecucion[id_operacion],tblEjecucion[costo_plan_total],0)-tblOrdenes[[#This Row],[costo_servicio]]))</f>
        <v/>
      </c>
      <c r="AK1058" s="11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3">
        <f>IF(tblOrdenes[[#This Row],[fecha_inicio]]="","",TODAY()-tblOrdenes[[#This Row],[fecha_inicio]])</f>
        <v/>
      </c>
      <c r="AB10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1">
        <f>IF(tblOrdenes[[#This Row],[orden]]="","",_xlfn.XLOOKUP(tblOrdenes[[#This Row],[id_operacion]],tblEjecucion[id_operacion],tblEjecucion[precio],0))</f>
        <v/>
      </c>
      <c r="AJ1059" s="11">
        <f>IF(tblOrdenes[[#This Row],[orden]]="","",MAX(0,_xlfn.XLOOKUP(tblOrdenes[[#This Row],[id_operacion]],tblEjecucion[id_operacion],tblEjecucion[costo_plan_total],0)-tblOrdenes[[#This Row],[costo_servicio]]))</f>
        <v/>
      </c>
      <c r="AK1059" s="11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3">
        <f>IF(tblOrdenes[[#This Row],[fecha_inicio]]="","",TODAY()-tblOrdenes[[#This Row],[fecha_inicio]])</f>
        <v/>
      </c>
      <c r="AB10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1">
        <f>IF(tblOrdenes[[#This Row],[orden]]="","",_xlfn.XLOOKUP(tblOrdenes[[#This Row],[id_operacion]],tblEjecucion[id_operacion],tblEjecucion[precio],0))</f>
        <v/>
      </c>
      <c r="AJ1060" s="11">
        <f>IF(tblOrdenes[[#This Row],[orden]]="","",MAX(0,_xlfn.XLOOKUP(tblOrdenes[[#This Row],[id_operacion]],tblEjecucion[id_operacion],tblEjecucion[costo_plan_total],0)-tblOrdenes[[#This Row],[costo_servicio]]))</f>
        <v/>
      </c>
      <c r="AK1060" s="11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3">
        <f>IF(tblOrdenes[[#This Row],[fecha_inicio]]="","",TODAY()-tblOrdenes[[#This Row],[fecha_inicio]])</f>
        <v/>
      </c>
      <c r="AB10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1">
        <f>IF(tblOrdenes[[#This Row],[orden]]="","",_xlfn.XLOOKUP(tblOrdenes[[#This Row],[id_operacion]],tblEjecucion[id_operacion],tblEjecucion[precio],0))</f>
        <v/>
      </c>
      <c r="AJ1061" s="11">
        <f>IF(tblOrdenes[[#This Row],[orden]]="","",MAX(0,_xlfn.XLOOKUP(tblOrdenes[[#This Row],[id_operacion]],tblEjecucion[id_operacion],tblEjecucion[costo_plan_total],0)-tblOrdenes[[#This Row],[costo_servicio]]))</f>
        <v/>
      </c>
      <c r="AK1061" s="11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3">
        <f>IF(tblOrdenes[[#This Row],[fecha_inicio]]="","",TODAY()-tblOrdenes[[#This Row],[fecha_inicio]])</f>
        <v/>
      </c>
      <c r="AB10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1">
        <f>IF(tblOrdenes[[#This Row],[orden]]="","",_xlfn.XLOOKUP(tblOrdenes[[#This Row],[id_operacion]],tblEjecucion[id_operacion],tblEjecucion[precio],0))</f>
        <v/>
      </c>
      <c r="AJ1062" s="11">
        <f>IF(tblOrdenes[[#This Row],[orden]]="","",MAX(0,_xlfn.XLOOKUP(tblOrdenes[[#This Row],[id_operacion]],tblEjecucion[id_operacion],tblEjecucion[costo_plan_total],0)-tblOrdenes[[#This Row],[costo_servicio]]))</f>
        <v/>
      </c>
      <c r="AK1062" s="11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3">
        <f>IF(tblOrdenes[[#This Row],[fecha_inicio]]="","",TODAY()-tblOrdenes[[#This Row],[fecha_inicio]])</f>
        <v/>
      </c>
      <c r="AB10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1">
        <f>IF(tblOrdenes[[#This Row],[orden]]="","",_xlfn.XLOOKUP(tblOrdenes[[#This Row],[id_operacion]],tblEjecucion[id_operacion],tblEjecucion[precio],0))</f>
        <v/>
      </c>
      <c r="AJ1063" s="11">
        <f>IF(tblOrdenes[[#This Row],[orden]]="","",MAX(0,_xlfn.XLOOKUP(tblOrdenes[[#This Row],[id_operacion]],tblEjecucion[id_operacion],tblEjecucion[costo_plan_total],0)-tblOrdenes[[#This Row],[costo_servicio]]))</f>
        <v/>
      </c>
      <c r="AK1063" s="11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3">
        <f>IF(tblOrdenes[[#This Row],[fecha_inicio]]="","",TODAY()-tblOrdenes[[#This Row],[fecha_inicio]])</f>
        <v/>
      </c>
      <c r="AB10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1">
        <f>IF(tblOrdenes[[#This Row],[orden]]="","",_xlfn.XLOOKUP(tblOrdenes[[#This Row],[id_operacion]],tblEjecucion[id_operacion],tblEjecucion[precio],0))</f>
        <v/>
      </c>
      <c r="AJ1064" s="11">
        <f>IF(tblOrdenes[[#This Row],[orden]]="","",MAX(0,_xlfn.XLOOKUP(tblOrdenes[[#This Row],[id_operacion]],tblEjecucion[id_operacion],tblEjecucion[costo_plan_total],0)-tblOrdenes[[#This Row],[costo_servicio]]))</f>
        <v/>
      </c>
      <c r="AK1064" s="11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3">
        <f>IF(tblOrdenes[[#This Row],[fecha_inicio]]="","",TODAY()-tblOrdenes[[#This Row],[fecha_inicio]])</f>
        <v/>
      </c>
      <c r="AB10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1">
        <f>IF(tblOrdenes[[#This Row],[orden]]="","",_xlfn.XLOOKUP(tblOrdenes[[#This Row],[id_operacion]],tblEjecucion[id_operacion],tblEjecucion[precio],0))</f>
        <v/>
      </c>
      <c r="AJ1065" s="11">
        <f>IF(tblOrdenes[[#This Row],[orden]]="","",MAX(0,_xlfn.XLOOKUP(tblOrdenes[[#This Row],[id_operacion]],tblEjecucion[id_operacion],tblEjecucion[costo_plan_total],0)-tblOrdenes[[#This Row],[costo_servicio]]))</f>
        <v/>
      </c>
      <c r="AK1065" s="11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3">
        <f>IF(tblOrdenes[[#This Row],[fecha_inicio]]="","",TODAY()-tblOrdenes[[#This Row],[fecha_inicio]])</f>
        <v/>
      </c>
      <c r="AB10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1">
        <f>IF(tblOrdenes[[#This Row],[orden]]="","",_xlfn.XLOOKUP(tblOrdenes[[#This Row],[id_operacion]],tblEjecucion[id_operacion],tblEjecucion[precio],0))</f>
        <v/>
      </c>
      <c r="AJ1066" s="11">
        <f>IF(tblOrdenes[[#This Row],[orden]]="","",MAX(0,_xlfn.XLOOKUP(tblOrdenes[[#This Row],[id_operacion]],tblEjecucion[id_operacion],tblEjecucion[costo_plan_total],0)-tblOrdenes[[#This Row],[costo_servicio]]))</f>
        <v/>
      </c>
      <c r="AK1066" s="11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3">
        <f>IF(tblOrdenes[[#This Row],[fecha_inicio]]="","",TODAY()-tblOrdenes[[#This Row],[fecha_inicio]])</f>
        <v/>
      </c>
      <c r="AB10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1">
        <f>IF(tblOrdenes[[#This Row],[orden]]="","",_xlfn.XLOOKUP(tblOrdenes[[#This Row],[id_operacion]],tblEjecucion[id_operacion],tblEjecucion[precio],0))</f>
        <v/>
      </c>
      <c r="AJ1067" s="11">
        <f>IF(tblOrdenes[[#This Row],[orden]]="","",MAX(0,_xlfn.XLOOKUP(tblOrdenes[[#This Row],[id_operacion]],tblEjecucion[id_operacion],tblEjecucion[costo_plan_total],0)-tblOrdenes[[#This Row],[costo_servicio]]))</f>
        <v/>
      </c>
      <c r="AK1067" s="11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3">
        <f>IF(tblOrdenes[[#This Row],[fecha_inicio]]="","",TODAY()-tblOrdenes[[#This Row],[fecha_inicio]])</f>
        <v/>
      </c>
      <c r="AB10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1">
        <f>IF(tblOrdenes[[#This Row],[orden]]="","",_xlfn.XLOOKUP(tblOrdenes[[#This Row],[id_operacion]],tblEjecucion[id_operacion],tblEjecucion[precio],0))</f>
        <v/>
      </c>
      <c r="AJ1068" s="11">
        <f>IF(tblOrdenes[[#This Row],[orden]]="","",MAX(0,_xlfn.XLOOKUP(tblOrdenes[[#This Row],[id_operacion]],tblEjecucion[id_operacion],tblEjecucion[costo_plan_total],0)-tblOrdenes[[#This Row],[costo_servicio]]))</f>
        <v/>
      </c>
      <c r="AK1068" s="11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3">
        <f>IF(tblOrdenes[[#This Row],[fecha_inicio]]="","",TODAY()-tblOrdenes[[#This Row],[fecha_inicio]])</f>
        <v/>
      </c>
      <c r="AB10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1">
        <f>IF(tblOrdenes[[#This Row],[orden]]="","",_xlfn.XLOOKUP(tblOrdenes[[#This Row],[id_operacion]],tblEjecucion[id_operacion],tblEjecucion[precio],0))</f>
        <v/>
      </c>
      <c r="AJ1069" s="11">
        <f>IF(tblOrdenes[[#This Row],[orden]]="","",MAX(0,_xlfn.XLOOKUP(tblOrdenes[[#This Row],[id_operacion]],tblEjecucion[id_operacion],tblEjecucion[costo_plan_total],0)-tblOrdenes[[#This Row],[costo_servicio]]))</f>
        <v/>
      </c>
      <c r="AK1069" s="11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3">
        <f>IF(tblOrdenes[[#This Row],[fecha_inicio]]="","",TODAY()-tblOrdenes[[#This Row],[fecha_inicio]])</f>
        <v/>
      </c>
      <c r="AB10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1">
        <f>IF(tblOrdenes[[#This Row],[orden]]="","",_xlfn.XLOOKUP(tblOrdenes[[#This Row],[id_operacion]],tblEjecucion[id_operacion],tblEjecucion[precio],0))</f>
        <v/>
      </c>
      <c r="AJ1070" s="11">
        <f>IF(tblOrdenes[[#This Row],[orden]]="","",MAX(0,_xlfn.XLOOKUP(tblOrdenes[[#This Row],[id_operacion]],tblEjecucion[id_operacion],tblEjecucion[costo_plan_total],0)-tblOrdenes[[#This Row],[costo_servicio]]))</f>
        <v/>
      </c>
      <c r="AK1070" s="11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3">
        <f>IF(tblOrdenes[[#This Row],[fecha_inicio]]="","",TODAY()-tblOrdenes[[#This Row],[fecha_inicio]])</f>
        <v/>
      </c>
      <c r="AB10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1">
        <f>IF(tblOrdenes[[#This Row],[orden]]="","",_xlfn.XLOOKUP(tblOrdenes[[#This Row],[id_operacion]],tblEjecucion[id_operacion],tblEjecucion[precio],0))</f>
        <v/>
      </c>
      <c r="AJ1071" s="11">
        <f>IF(tblOrdenes[[#This Row],[orden]]="","",MAX(0,_xlfn.XLOOKUP(tblOrdenes[[#This Row],[id_operacion]],tblEjecucion[id_operacion],tblEjecucion[costo_plan_total],0)-tblOrdenes[[#This Row],[costo_servicio]]))</f>
        <v/>
      </c>
      <c r="AK1071" s="11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3">
        <f>IF(tblOrdenes[[#This Row],[fecha_inicio]]="","",TODAY()-tblOrdenes[[#This Row],[fecha_inicio]])</f>
        <v/>
      </c>
      <c r="AB10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1">
        <f>IF(tblOrdenes[[#This Row],[orden]]="","",_xlfn.XLOOKUP(tblOrdenes[[#This Row],[id_operacion]],tblEjecucion[id_operacion],tblEjecucion[precio],0))</f>
        <v/>
      </c>
      <c r="AJ1072" s="11">
        <f>IF(tblOrdenes[[#This Row],[orden]]="","",MAX(0,_xlfn.XLOOKUP(tblOrdenes[[#This Row],[id_operacion]],tblEjecucion[id_operacion],tblEjecucion[costo_plan_total],0)-tblOrdenes[[#This Row],[costo_servicio]]))</f>
        <v/>
      </c>
      <c r="AK1072" s="11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3">
        <f>IF(tblOrdenes[[#This Row],[fecha_inicio]]="","",TODAY()-tblOrdenes[[#This Row],[fecha_inicio]])</f>
        <v/>
      </c>
      <c r="AB10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1">
        <f>IF(tblOrdenes[[#This Row],[orden]]="","",_xlfn.XLOOKUP(tblOrdenes[[#This Row],[id_operacion]],tblEjecucion[id_operacion],tblEjecucion[precio],0))</f>
        <v/>
      </c>
      <c r="AJ1073" s="11">
        <f>IF(tblOrdenes[[#This Row],[orden]]="","",MAX(0,_xlfn.XLOOKUP(tblOrdenes[[#This Row],[id_operacion]],tblEjecucion[id_operacion],tblEjecucion[costo_plan_total],0)-tblOrdenes[[#This Row],[costo_servicio]]))</f>
        <v/>
      </c>
      <c r="AK1073" s="11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3">
        <f>IF(tblOrdenes[[#This Row],[fecha_inicio]]="","",TODAY()-tblOrdenes[[#This Row],[fecha_inicio]])</f>
        <v/>
      </c>
      <c r="AB10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1">
        <f>IF(tblOrdenes[[#This Row],[orden]]="","",_xlfn.XLOOKUP(tblOrdenes[[#This Row],[id_operacion]],tblEjecucion[id_operacion],tblEjecucion[precio],0))</f>
        <v/>
      </c>
      <c r="AJ1074" s="11">
        <f>IF(tblOrdenes[[#This Row],[orden]]="","",MAX(0,_xlfn.XLOOKUP(tblOrdenes[[#This Row],[id_operacion]],tblEjecucion[id_operacion],tblEjecucion[costo_plan_total],0)-tblOrdenes[[#This Row],[costo_servicio]]))</f>
        <v/>
      </c>
      <c r="AK1074" s="11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3">
        <f>IF(tblOrdenes[[#This Row],[fecha_inicio]]="","",TODAY()-tblOrdenes[[#This Row],[fecha_inicio]])</f>
        <v/>
      </c>
      <c r="AB10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1">
        <f>IF(tblOrdenes[[#This Row],[orden]]="","",_xlfn.XLOOKUP(tblOrdenes[[#This Row],[id_operacion]],tblEjecucion[id_operacion],tblEjecucion[precio],0))</f>
        <v/>
      </c>
      <c r="AJ1075" s="11">
        <f>IF(tblOrdenes[[#This Row],[orden]]="","",MAX(0,_xlfn.XLOOKUP(tblOrdenes[[#This Row],[id_operacion]],tblEjecucion[id_operacion],tblEjecucion[costo_plan_total],0)-tblOrdenes[[#This Row],[costo_servicio]]))</f>
        <v/>
      </c>
      <c r="AK1075" s="11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3">
        <f>IF(tblOrdenes[[#This Row],[fecha_inicio]]="","",TODAY()-tblOrdenes[[#This Row],[fecha_inicio]])</f>
        <v/>
      </c>
      <c r="AB10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1">
        <f>IF(tblOrdenes[[#This Row],[orden]]="","",_xlfn.XLOOKUP(tblOrdenes[[#This Row],[id_operacion]],tblEjecucion[id_operacion],tblEjecucion[precio],0))</f>
        <v/>
      </c>
      <c r="AJ1076" s="11">
        <f>IF(tblOrdenes[[#This Row],[orden]]="","",MAX(0,_xlfn.XLOOKUP(tblOrdenes[[#This Row],[id_operacion]],tblEjecucion[id_operacion],tblEjecucion[costo_plan_total],0)-tblOrdenes[[#This Row],[costo_servicio]]))</f>
        <v/>
      </c>
      <c r="AK1076" s="11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3">
        <f>IF(tblOrdenes[[#This Row],[fecha_inicio]]="","",TODAY()-tblOrdenes[[#This Row],[fecha_inicio]])</f>
        <v/>
      </c>
      <c r="AB10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1">
        <f>IF(tblOrdenes[[#This Row],[orden]]="","",_xlfn.XLOOKUP(tblOrdenes[[#This Row],[id_operacion]],tblEjecucion[id_operacion],tblEjecucion[precio],0))</f>
        <v/>
      </c>
      <c r="AJ1077" s="11">
        <f>IF(tblOrdenes[[#This Row],[orden]]="","",MAX(0,_xlfn.XLOOKUP(tblOrdenes[[#This Row],[id_operacion]],tblEjecucion[id_operacion],tblEjecucion[costo_plan_total],0)-tblOrdenes[[#This Row],[costo_servicio]]))</f>
        <v/>
      </c>
      <c r="AK1077" s="11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3">
        <f>IF(tblOrdenes[[#This Row],[fecha_inicio]]="","",TODAY()-tblOrdenes[[#This Row],[fecha_inicio]])</f>
        <v/>
      </c>
      <c r="AB10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1">
        <f>IF(tblOrdenes[[#This Row],[orden]]="","",_xlfn.XLOOKUP(tblOrdenes[[#This Row],[id_operacion]],tblEjecucion[id_operacion],tblEjecucion[precio],0))</f>
        <v/>
      </c>
      <c r="AJ1078" s="11">
        <f>IF(tblOrdenes[[#This Row],[orden]]="","",MAX(0,_xlfn.XLOOKUP(tblOrdenes[[#This Row],[id_operacion]],tblEjecucion[id_operacion],tblEjecucion[costo_plan_total],0)-tblOrdenes[[#This Row],[costo_servicio]]))</f>
        <v/>
      </c>
      <c r="AK1078" s="11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3">
        <f>IF(tblOrdenes[[#This Row],[fecha_inicio]]="","",TODAY()-tblOrdenes[[#This Row],[fecha_inicio]])</f>
        <v/>
      </c>
      <c r="AB10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1">
        <f>IF(tblOrdenes[[#This Row],[orden]]="","",_xlfn.XLOOKUP(tblOrdenes[[#This Row],[id_operacion]],tblEjecucion[id_operacion],tblEjecucion[precio],0))</f>
        <v/>
      </c>
      <c r="AJ1079" s="11">
        <f>IF(tblOrdenes[[#This Row],[orden]]="","",MAX(0,_xlfn.XLOOKUP(tblOrdenes[[#This Row],[id_operacion]],tblEjecucion[id_operacion],tblEjecucion[costo_plan_total],0)-tblOrdenes[[#This Row],[costo_servicio]]))</f>
        <v/>
      </c>
      <c r="AK1079" s="11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3">
        <f>IF(tblOrdenes[[#This Row],[fecha_inicio]]="","",TODAY()-tblOrdenes[[#This Row],[fecha_inicio]])</f>
        <v/>
      </c>
      <c r="AB10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1">
        <f>IF(tblOrdenes[[#This Row],[orden]]="","",_xlfn.XLOOKUP(tblOrdenes[[#This Row],[id_operacion]],tblEjecucion[id_operacion],tblEjecucion[precio],0))</f>
        <v/>
      </c>
      <c r="AJ1080" s="11">
        <f>IF(tblOrdenes[[#This Row],[orden]]="","",MAX(0,_xlfn.XLOOKUP(tblOrdenes[[#This Row],[id_operacion]],tblEjecucion[id_operacion],tblEjecucion[costo_plan_total],0)-tblOrdenes[[#This Row],[costo_servicio]]))</f>
        <v/>
      </c>
      <c r="AK1080" s="11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3">
        <f>IF(tblOrdenes[[#This Row],[fecha_inicio]]="","",TODAY()-tblOrdenes[[#This Row],[fecha_inicio]])</f>
        <v/>
      </c>
      <c r="AB10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1">
        <f>IF(tblOrdenes[[#This Row],[orden]]="","",_xlfn.XLOOKUP(tblOrdenes[[#This Row],[id_operacion]],tblEjecucion[id_operacion],tblEjecucion[precio],0))</f>
        <v/>
      </c>
      <c r="AJ1081" s="11">
        <f>IF(tblOrdenes[[#This Row],[orden]]="","",MAX(0,_xlfn.XLOOKUP(tblOrdenes[[#This Row],[id_operacion]],tblEjecucion[id_operacion],tblEjecucion[costo_plan_total],0)-tblOrdenes[[#This Row],[costo_servicio]]))</f>
        <v/>
      </c>
      <c r="AK1081" s="11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3">
        <f>IF(tblOrdenes[[#This Row],[fecha_inicio]]="","",TODAY()-tblOrdenes[[#This Row],[fecha_inicio]])</f>
        <v/>
      </c>
      <c r="AB10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1">
        <f>IF(tblOrdenes[[#This Row],[orden]]="","",_xlfn.XLOOKUP(tblOrdenes[[#This Row],[id_operacion]],tblEjecucion[id_operacion],tblEjecucion[precio],0))</f>
        <v/>
      </c>
      <c r="AJ1082" s="11">
        <f>IF(tblOrdenes[[#This Row],[orden]]="","",MAX(0,_xlfn.XLOOKUP(tblOrdenes[[#This Row],[id_operacion]],tblEjecucion[id_operacion],tblEjecucion[costo_plan_total],0)-tblOrdenes[[#This Row],[costo_servicio]]))</f>
        <v/>
      </c>
      <c r="AK1082" s="11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3">
        <f>IF(tblOrdenes[[#This Row],[fecha_inicio]]="","",TODAY()-tblOrdenes[[#This Row],[fecha_inicio]])</f>
        <v/>
      </c>
      <c r="AB10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1">
        <f>IF(tblOrdenes[[#This Row],[orden]]="","",_xlfn.XLOOKUP(tblOrdenes[[#This Row],[id_operacion]],tblEjecucion[id_operacion],tblEjecucion[precio],0))</f>
        <v/>
      </c>
      <c r="AJ1083" s="11">
        <f>IF(tblOrdenes[[#This Row],[orden]]="","",MAX(0,_xlfn.XLOOKUP(tblOrdenes[[#This Row],[id_operacion]],tblEjecucion[id_operacion],tblEjecucion[costo_plan_total],0)-tblOrdenes[[#This Row],[costo_servicio]]))</f>
        <v/>
      </c>
      <c r="AK1083" s="11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3">
        <f>IF(tblOrdenes[[#This Row],[fecha_inicio]]="","",TODAY()-tblOrdenes[[#This Row],[fecha_inicio]])</f>
        <v/>
      </c>
      <c r="AB10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1">
        <f>IF(tblOrdenes[[#This Row],[orden]]="","",_xlfn.XLOOKUP(tblOrdenes[[#This Row],[id_operacion]],tblEjecucion[id_operacion],tblEjecucion[precio],0))</f>
        <v/>
      </c>
      <c r="AJ1084" s="11">
        <f>IF(tblOrdenes[[#This Row],[orden]]="","",MAX(0,_xlfn.XLOOKUP(tblOrdenes[[#This Row],[id_operacion]],tblEjecucion[id_operacion],tblEjecucion[costo_plan_total],0)-tblOrdenes[[#This Row],[costo_servicio]]))</f>
        <v/>
      </c>
      <c r="AK1084" s="11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3">
        <f>IF(tblOrdenes[[#This Row],[fecha_inicio]]="","",TODAY()-tblOrdenes[[#This Row],[fecha_inicio]])</f>
        <v/>
      </c>
      <c r="AB10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1">
        <f>IF(tblOrdenes[[#This Row],[orden]]="","",_xlfn.XLOOKUP(tblOrdenes[[#This Row],[id_operacion]],tblEjecucion[id_operacion],tblEjecucion[precio],0))</f>
        <v/>
      </c>
      <c r="AJ1085" s="11">
        <f>IF(tblOrdenes[[#This Row],[orden]]="","",MAX(0,_xlfn.XLOOKUP(tblOrdenes[[#This Row],[id_operacion]],tblEjecucion[id_operacion],tblEjecucion[costo_plan_total],0)-tblOrdenes[[#This Row],[costo_servicio]]))</f>
        <v/>
      </c>
      <c r="AK1085" s="11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3">
        <f>IF(tblOrdenes[[#This Row],[fecha_inicio]]="","",TODAY()-tblOrdenes[[#This Row],[fecha_inicio]])</f>
        <v/>
      </c>
      <c r="AB10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1">
        <f>IF(tblOrdenes[[#This Row],[orden]]="","",_xlfn.XLOOKUP(tblOrdenes[[#This Row],[id_operacion]],tblEjecucion[id_operacion],tblEjecucion[precio],0))</f>
        <v/>
      </c>
      <c r="AJ1086" s="11">
        <f>IF(tblOrdenes[[#This Row],[orden]]="","",MAX(0,_xlfn.XLOOKUP(tblOrdenes[[#This Row],[id_operacion]],tblEjecucion[id_operacion],tblEjecucion[costo_plan_total],0)-tblOrdenes[[#This Row],[costo_servicio]]))</f>
        <v/>
      </c>
      <c r="AK1086" s="11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3">
        <f>IF(tblOrdenes[[#This Row],[fecha_inicio]]="","",TODAY()-tblOrdenes[[#This Row],[fecha_inicio]])</f>
        <v/>
      </c>
      <c r="AB10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1">
        <f>IF(tblOrdenes[[#This Row],[orden]]="","",_xlfn.XLOOKUP(tblOrdenes[[#This Row],[id_operacion]],tblEjecucion[id_operacion],tblEjecucion[precio],0))</f>
        <v/>
      </c>
      <c r="AJ1087" s="11">
        <f>IF(tblOrdenes[[#This Row],[orden]]="","",MAX(0,_xlfn.XLOOKUP(tblOrdenes[[#This Row],[id_operacion]],tblEjecucion[id_operacion],tblEjecucion[costo_plan_total],0)-tblOrdenes[[#This Row],[costo_servicio]]))</f>
        <v/>
      </c>
      <c r="AK1087" s="11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3">
        <f>IF(tblOrdenes[[#This Row],[fecha_inicio]]="","",TODAY()-tblOrdenes[[#This Row],[fecha_inicio]])</f>
        <v/>
      </c>
      <c r="AB10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1">
        <f>IF(tblOrdenes[[#This Row],[orden]]="","",_xlfn.XLOOKUP(tblOrdenes[[#This Row],[id_operacion]],tblEjecucion[id_operacion],tblEjecucion[precio],0))</f>
        <v/>
      </c>
      <c r="AJ1088" s="11">
        <f>IF(tblOrdenes[[#This Row],[orden]]="","",MAX(0,_xlfn.XLOOKUP(tblOrdenes[[#This Row],[id_operacion]],tblEjecucion[id_operacion],tblEjecucion[costo_plan_total],0)-tblOrdenes[[#This Row],[costo_servicio]]))</f>
        <v/>
      </c>
      <c r="AK1088" s="11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3">
        <f>IF(tblOrdenes[[#This Row],[fecha_inicio]]="","",TODAY()-tblOrdenes[[#This Row],[fecha_inicio]])</f>
        <v/>
      </c>
      <c r="AB10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1">
        <f>IF(tblOrdenes[[#This Row],[orden]]="","",_xlfn.XLOOKUP(tblOrdenes[[#This Row],[id_operacion]],tblEjecucion[id_operacion],tblEjecucion[precio],0))</f>
        <v/>
      </c>
      <c r="AJ1089" s="11">
        <f>IF(tblOrdenes[[#This Row],[orden]]="","",MAX(0,_xlfn.XLOOKUP(tblOrdenes[[#This Row],[id_operacion]],tblEjecucion[id_operacion],tblEjecucion[costo_plan_total],0)-tblOrdenes[[#This Row],[costo_servicio]]))</f>
        <v/>
      </c>
      <c r="AK1089" s="11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3">
        <f>IF(tblOrdenes[[#This Row],[fecha_inicio]]="","",TODAY()-tblOrdenes[[#This Row],[fecha_inicio]])</f>
        <v/>
      </c>
      <c r="AB10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1">
        <f>IF(tblOrdenes[[#This Row],[orden]]="","",_xlfn.XLOOKUP(tblOrdenes[[#This Row],[id_operacion]],tblEjecucion[id_operacion],tblEjecucion[precio],0))</f>
        <v/>
      </c>
      <c r="AJ1090" s="11">
        <f>IF(tblOrdenes[[#This Row],[orden]]="","",MAX(0,_xlfn.XLOOKUP(tblOrdenes[[#This Row],[id_operacion]],tblEjecucion[id_operacion],tblEjecucion[costo_plan_total],0)-tblOrdenes[[#This Row],[costo_servicio]]))</f>
        <v/>
      </c>
      <c r="AK1090" s="11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3">
        <f>IF(tblOrdenes[[#This Row],[fecha_inicio]]="","",TODAY()-tblOrdenes[[#This Row],[fecha_inicio]])</f>
        <v/>
      </c>
      <c r="AB10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1">
        <f>IF(tblOrdenes[[#This Row],[orden]]="","",_xlfn.XLOOKUP(tblOrdenes[[#This Row],[id_operacion]],tblEjecucion[id_operacion],tblEjecucion[precio],0))</f>
        <v/>
      </c>
      <c r="AJ1091" s="11">
        <f>IF(tblOrdenes[[#This Row],[orden]]="","",MAX(0,_xlfn.XLOOKUP(tblOrdenes[[#This Row],[id_operacion]],tblEjecucion[id_operacion],tblEjecucion[costo_plan_total],0)-tblOrdenes[[#This Row],[costo_servicio]]))</f>
        <v/>
      </c>
      <c r="AK1091" s="11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3">
        <f>IF(tblOrdenes[[#This Row],[fecha_inicio]]="","",TODAY()-tblOrdenes[[#This Row],[fecha_inicio]])</f>
        <v/>
      </c>
      <c r="AB10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1">
        <f>IF(tblOrdenes[[#This Row],[orden]]="","",_xlfn.XLOOKUP(tblOrdenes[[#This Row],[id_operacion]],tblEjecucion[id_operacion],tblEjecucion[precio],0))</f>
        <v/>
      </c>
      <c r="AJ1092" s="11">
        <f>IF(tblOrdenes[[#This Row],[orden]]="","",MAX(0,_xlfn.XLOOKUP(tblOrdenes[[#This Row],[id_operacion]],tblEjecucion[id_operacion],tblEjecucion[costo_plan_total],0)-tblOrdenes[[#This Row],[costo_servicio]]))</f>
        <v/>
      </c>
      <c r="AK1092" s="11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3">
        <f>IF(tblOrdenes[[#This Row],[fecha_inicio]]="","",TODAY()-tblOrdenes[[#This Row],[fecha_inicio]])</f>
        <v/>
      </c>
      <c r="AB10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1">
        <f>IF(tblOrdenes[[#This Row],[orden]]="","",_xlfn.XLOOKUP(tblOrdenes[[#This Row],[id_operacion]],tblEjecucion[id_operacion],tblEjecucion[precio],0))</f>
        <v/>
      </c>
      <c r="AJ1093" s="11">
        <f>IF(tblOrdenes[[#This Row],[orden]]="","",MAX(0,_xlfn.XLOOKUP(tblOrdenes[[#This Row],[id_operacion]],tblEjecucion[id_operacion],tblEjecucion[costo_plan_total],0)-tblOrdenes[[#This Row],[costo_servicio]]))</f>
        <v/>
      </c>
      <c r="AK1093" s="11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3">
        <f>IF(tblOrdenes[[#This Row],[fecha_inicio]]="","",TODAY()-tblOrdenes[[#This Row],[fecha_inicio]])</f>
        <v/>
      </c>
      <c r="AB10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1">
        <f>IF(tblOrdenes[[#This Row],[orden]]="","",_xlfn.XLOOKUP(tblOrdenes[[#This Row],[id_operacion]],tblEjecucion[id_operacion],tblEjecucion[precio],0))</f>
        <v/>
      </c>
      <c r="AJ1094" s="11">
        <f>IF(tblOrdenes[[#This Row],[orden]]="","",MAX(0,_xlfn.XLOOKUP(tblOrdenes[[#This Row],[id_operacion]],tblEjecucion[id_operacion],tblEjecucion[costo_plan_total],0)-tblOrdenes[[#This Row],[costo_servicio]]))</f>
        <v/>
      </c>
      <c r="AK1094" s="11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3">
        <f>IF(tblOrdenes[[#This Row],[fecha_inicio]]="","",TODAY()-tblOrdenes[[#This Row],[fecha_inicio]])</f>
        <v/>
      </c>
      <c r="AB10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1">
        <f>IF(tblOrdenes[[#This Row],[orden]]="","",_xlfn.XLOOKUP(tblOrdenes[[#This Row],[id_operacion]],tblEjecucion[id_operacion],tblEjecucion[precio],0))</f>
        <v/>
      </c>
      <c r="AJ1095" s="11">
        <f>IF(tblOrdenes[[#This Row],[orden]]="","",MAX(0,_xlfn.XLOOKUP(tblOrdenes[[#This Row],[id_operacion]],tblEjecucion[id_operacion],tblEjecucion[costo_plan_total],0)-tblOrdenes[[#This Row],[costo_servicio]]))</f>
        <v/>
      </c>
      <c r="AK1095" s="11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3">
        <f>IF(tblOrdenes[[#This Row],[fecha_inicio]]="","",TODAY()-tblOrdenes[[#This Row],[fecha_inicio]])</f>
        <v/>
      </c>
      <c r="AB10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1">
        <f>IF(tblOrdenes[[#This Row],[orden]]="","",_xlfn.XLOOKUP(tblOrdenes[[#This Row],[id_operacion]],tblEjecucion[id_operacion],tblEjecucion[precio],0))</f>
        <v/>
      </c>
      <c r="AJ1096" s="11">
        <f>IF(tblOrdenes[[#This Row],[orden]]="","",MAX(0,_xlfn.XLOOKUP(tblOrdenes[[#This Row],[id_operacion]],tblEjecucion[id_operacion],tblEjecucion[costo_plan_total],0)-tblOrdenes[[#This Row],[costo_servicio]]))</f>
        <v/>
      </c>
      <c r="AK1096" s="11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3">
        <f>IF(tblOrdenes[[#This Row],[fecha_inicio]]="","",TODAY()-tblOrdenes[[#This Row],[fecha_inicio]])</f>
        <v/>
      </c>
      <c r="AB10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1">
        <f>IF(tblOrdenes[[#This Row],[orden]]="","",_xlfn.XLOOKUP(tblOrdenes[[#This Row],[id_operacion]],tblEjecucion[id_operacion],tblEjecucion[precio],0))</f>
        <v/>
      </c>
      <c r="AJ1097" s="11">
        <f>IF(tblOrdenes[[#This Row],[orden]]="","",MAX(0,_xlfn.XLOOKUP(tblOrdenes[[#This Row],[id_operacion]],tblEjecucion[id_operacion],tblEjecucion[costo_plan_total],0)-tblOrdenes[[#This Row],[costo_servicio]]))</f>
        <v/>
      </c>
      <c r="AK1097" s="11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3">
        <f>IF(tblOrdenes[[#This Row],[fecha_inicio]]="","",TODAY()-tblOrdenes[[#This Row],[fecha_inicio]])</f>
        <v/>
      </c>
      <c r="AB10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1">
        <f>IF(tblOrdenes[[#This Row],[orden]]="","",_xlfn.XLOOKUP(tblOrdenes[[#This Row],[id_operacion]],tblEjecucion[id_operacion],tblEjecucion[precio],0))</f>
        <v/>
      </c>
      <c r="AJ1098" s="11">
        <f>IF(tblOrdenes[[#This Row],[orden]]="","",MAX(0,_xlfn.XLOOKUP(tblOrdenes[[#This Row],[id_operacion]],tblEjecucion[id_operacion],tblEjecucion[costo_plan_total],0)-tblOrdenes[[#This Row],[costo_servicio]]))</f>
        <v/>
      </c>
      <c r="AK1098" s="11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3">
        <f>IF(tblOrdenes[[#This Row],[fecha_inicio]]="","",TODAY()-tblOrdenes[[#This Row],[fecha_inicio]])</f>
        <v/>
      </c>
      <c r="AB10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1">
        <f>IF(tblOrdenes[[#This Row],[orden]]="","",_xlfn.XLOOKUP(tblOrdenes[[#This Row],[id_operacion]],tblEjecucion[id_operacion],tblEjecucion[precio],0))</f>
        <v/>
      </c>
      <c r="AJ1099" s="11">
        <f>IF(tblOrdenes[[#This Row],[orden]]="","",MAX(0,_xlfn.XLOOKUP(tblOrdenes[[#This Row],[id_operacion]],tblEjecucion[id_operacion],tblEjecucion[costo_plan_total],0)-tblOrdenes[[#This Row],[costo_servicio]]))</f>
        <v/>
      </c>
      <c r="AK1099" s="11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3">
        <f>IF(tblOrdenes[[#This Row],[fecha_inicio]]="","",TODAY()-tblOrdenes[[#This Row],[fecha_inicio]])</f>
        <v/>
      </c>
      <c r="AB1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1">
        <f>IF(tblOrdenes[[#This Row],[orden]]="","",_xlfn.XLOOKUP(tblOrdenes[[#This Row],[id_operacion]],tblEjecucion[id_operacion],tblEjecucion[precio],0))</f>
        <v/>
      </c>
      <c r="AJ1100" s="11">
        <f>IF(tblOrdenes[[#This Row],[orden]]="","",MAX(0,_xlfn.XLOOKUP(tblOrdenes[[#This Row],[id_operacion]],tblEjecucion[id_operacion],tblEjecucion[costo_plan_total],0)-tblOrdenes[[#This Row],[costo_servicio]]))</f>
        <v/>
      </c>
      <c r="AK1100" s="11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3">
        <f>IF(tblOrdenes[[#This Row],[fecha_inicio]]="","",TODAY()-tblOrdenes[[#This Row],[fecha_inicio]])</f>
        <v/>
      </c>
      <c r="AB1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1">
        <f>IF(tblOrdenes[[#This Row],[orden]]="","",_xlfn.XLOOKUP(tblOrdenes[[#This Row],[id_operacion]],tblEjecucion[id_operacion],tblEjecucion[precio],0))</f>
        <v/>
      </c>
      <c r="AJ1101" s="11">
        <f>IF(tblOrdenes[[#This Row],[orden]]="","",MAX(0,_xlfn.XLOOKUP(tblOrdenes[[#This Row],[id_operacion]],tblEjecucion[id_operacion],tblEjecucion[costo_plan_total],0)-tblOrdenes[[#This Row],[costo_servicio]]))</f>
        <v/>
      </c>
      <c r="AK1101" s="11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3">
        <f>IF(tblOrdenes[[#This Row],[fecha_inicio]]="","",TODAY()-tblOrdenes[[#This Row],[fecha_inicio]])</f>
        <v/>
      </c>
      <c r="AB1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1">
        <f>IF(tblOrdenes[[#This Row],[orden]]="","",_xlfn.XLOOKUP(tblOrdenes[[#This Row],[id_operacion]],tblEjecucion[id_operacion],tblEjecucion[precio],0))</f>
        <v/>
      </c>
      <c r="AJ1102" s="11">
        <f>IF(tblOrdenes[[#This Row],[orden]]="","",MAX(0,_xlfn.XLOOKUP(tblOrdenes[[#This Row],[id_operacion]],tblEjecucion[id_operacion],tblEjecucion[costo_plan_total],0)-tblOrdenes[[#This Row],[costo_servicio]]))</f>
        <v/>
      </c>
      <c r="AK1102" s="11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3">
        <f>IF(tblOrdenes[[#This Row],[fecha_inicio]]="","",TODAY()-tblOrdenes[[#This Row],[fecha_inicio]])</f>
        <v/>
      </c>
      <c r="AB1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1">
        <f>IF(tblOrdenes[[#This Row],[orden]]="","",_xlfn.XLOOKUP(tblOrdenes[[#This Row],[id_operacion]],tblEjecucion[id_operacion],tblEjecucion[precio],0))</f>
        <v/>
      </c>
      <c r="AJ1103" s="11">
        <f>IF(tblOrdenes[[#This Row],[orden]]="","",MAX(0,_xlfn.XLOOKUP(tblOrdenes[[#This Row],[id_operacion]],tblEjecucion[id_operacion],tblEjecucion[costo_plan_total],0)-tblOrdenes[[#This Row],[costo_servicio]]))</f>
        <v/>
      </c>
      <c r="AK1103" s="11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3">
        <f>IF(tblOrdenes[[#This Row],[fecha_inicio]]="","",TODAY()-tblOrdenes[[#This Row],[fecha_inicio]])</f>
        <v/>
      </c>
      <c r="AB1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1">
        <f>IF(tblOrdenes[[#This Row],[orden]]="","",_xlfn.XLOOKUP(tblOrdenes[[#This Row],[id_operacion]],tblEjecucion[id_operacion],tblEjecucion[precio],0))</f>
        <v/>
      </c>
      <c r="AJ1104" s="11">
        <f>IF(tblOrdenes[[#This Row],[orden]]="","",MAX(0,_xlfn.XLOOKUP(tblOrdenes[[#This Row],[id_operacion]],tblEjecucion[id_operacion],tblEjecucion[costo_plan_total],0)-tblOrdenes[[#This Row],[costo_servicio]]))</f>
        <v/>
      </c>
      <c r="AK1104" s="11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3">
        <f>IF(tblOrdenes[[#This Row],[fecha_inicio]]="","",TODAY()-tblOrdenes[[#This Row],[fecha_inicio]])</f>
        <v/>
      </c>
      <c r="AB1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1">
        <f>IF(tblOrdenes[[#This Row],[orden]]="","",_xlfn.XLOOKUP(tblOrdenes[[#This Row],[id_operacion]],tblEjecucion[id_operacion],tblEjecucion[precio],0))</f>
        <v/>
      </c>
      <c r="AJ1105" s="11">
        <f>IF(tblOrdenes[[#This Row],[orden]]="","",MAX(0,_xlfn.XLOOKUP(tblOrdenes[[#This Row],[id_operacion]],tblEjecucion[id_operacion],tblEjecucion[costo_plan_total],0)-tblOrdenes[[#This Row],[costo_servicio]]))</f>
        <v/>
      </c>
      <c r="AK1105" s="11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3">
        <f>IF(tblOrdenes[[#This Row],[fecha_inicio]]="","",TODAY()-tblOrdenes[[#This Row],[fecha_inicio]])</f>
        <v/>
      </c>
      <c r="AB1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1">
        <f>IF(tblOrdenes[[#This Row],[orden]]="","",_xlfn.XLOOKUP(tblOrdenes[[#This Row],[id_operacion]],tblEjecucion[id_operacion],tblEjecucion[precio],0))</f>
        <v/>
      </c>
      <c r="AJ1106" s="11">
        <f>IF(tblOrdenes[[#This Row],[orden]]="","",MAX(0,_xlfn.XLOOKUP(tblOrdenes[[#This Row],[id_operacion]],tblEjecucion[id_operacion],tblEjecucion[costo_plan_total],0)-tblOrdenes[[#This Row],[costo_servicio]]))</f>
        <v/>
      </c>
      <c r="AK1106" s="11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3">
        <f>IF(tblOrdenes[[#This Row],[fecha_inicio]]="","",TODAY()-tblOrdenes[[#This Row],[fecha_inicio]])</f>
        <v/>
      </c>
      <c r="AB1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1">
        <f>IF(tblOrdenes[[#This Row],[orden]]="","",_xlfn.XLOOKUP(tblOrdenes[[#This Row],[id_operacion]],tblEjecucion[id_operacion],tblEjecucion[precio],0))</f>
        <v/>
      </c>
      <c r="AJ1107" s="11">
        <f>IF(tblOrdenes[[#This Row],[orden]]="","",MAX(0,_xlfn.XLOOKUP(tblOrdenes[[#This Row],[id_operacion]],tblEjecucion[id_operacion],tblEjecucion[costo_plan_total],0)-tblOrdenes[[#This Row],[costo_servicio]]))</f>
        <v/>
      </c>
      <c r="AK1107" s="11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3">
        <f>IF(tblOrdenes[[#This Row],[fecha_inicio]]="","",TODAY()-tblOrdenes[[#This Row],[fecha_inicio]])</f>
        <v/>
      </c>
      <c r="AB1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1">
        <f>IF(tblOrdenes[[#This Row],[orden]]="","",_xlfn.XLOOKUP(tblOrdenes[[#This Row],[id_operacion]],tblEjecucion[id_operacion],tblEjecucion[precio],0))</f>
        <v/>
      </c>
      <c r="AJ1108" s="11">
        <f>IF(tblOrdenes[[#This Row],[orden]]="","",MAX(0,_xlfn.XLOOKUP(tblOrdenes[[#This Row],[id_operacion]],tblEjecucion[id_operacion],tblEjecucion[costo_plan_total],0)-tblOrdenes[[#This Row],[costo_servicio]]))</f>
        <v/>
      </c>
      <c r="AK1108" s="11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3">
        <f>IF(tblOrdenes[[#This Row],[fecha_inicio]]="","",TODAY()-tblOrdenes[[#This Row],[fecha_inicio]])</f>
        <v/>
      </c>
      <c r="AB1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1">
        <f>IF(tblOrdenes[[#This Row],[orden]]="","",_xlfn.XLOOKUP(tblOrdenes[[#This Row],[id_operacion]],tblEjecucion[id_operacion],tblEjecucion[precio],0))</f>
        <v/>
      </c>
      <c r="AJ1109" s="11">
        <f>IF(tblOrdenes[[#This Row],[orden]]="","",MAX(0,_xlfn.XLOOKUP(tblOrdenes[[#This Row],[id_operacion]],tblEjecucion[id_operacion],tblEjecucion[costo_plan_total],0)-tblOrdenes[[#This Row],[costo_servicio]]))</f>
        <v/>
      </c>
      <c r="AK1109" s="11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3">
        <f>IF(tblOrdenes[[#This Row],[fecha_inicio]]="","",TODAY()-tblOrdenes[[#This Row],[fecha_inicio]])</f>
        <v/>
      </c>
      <c r="AB1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1">
        <f>IF(tblOrdenes[[#This Row],[orden]]="","",_xlfn.XLOOKUP(tblOrdenes[[#This Row],[id_operacion]],tblEjecucion[id_operacion],tblEjecucion[precio],0))</f>
        <v/>
      </c>
      <c r="AJ1110" s="11">
        <f>IF(tblOrdenes[[#This Row],[orden]]="","",MAX(0,_xlfn.XLOOKUP(tblOrdenes[[#This Row],[id_operacion]],tblEjecucion[id_operacion],tblEjecucion[costo_plan_total],0)-tblOrdenes[[#This Row],[costo_servicio]]))</f>
        <v/>
      </c>
      <c r="AK1110" s="11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3">
        <f>IF(tblOrdenes[[#This Row],[fecha_inicio]]="","",TODAY()-tblOrdenes[[#This Row],[fecha_inicio]])</f>
        <v/>
      </c>
      <c r="AB1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1">
        <f>IF(tblOrdenes[[#This Row],[orden]]="","",_xlfn.XLOOKUP(tblOrdenes[[#This Row],[id_operacion]],tblEjecucion[id_operacion],tblEjecucion[precio],0))</f>
        <v/>
      </c>
      <c r="AJ1111" s="11">
        <f>IF(tblOrdenes[[#This Row],[orden]]="","",MAX(0,_xlfn.XLOOKUP(tblOrdenes[[#This Row],[id_operacion]],tblEjecucion[id_operacion],tblEjecucion[costo_plan_total],0)-tblOrdenes[[#This Row],[costo_servicio]]))</f>
        <v/>
      </c>
      <c r="AK1111" s="11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3">
        <f>IF(tblOrdenes[[#This Row],[fecha_inicio]]="","",TODAY()-tblOrdenes[[#This Row],[fecha_inicio]])</f>
        <v/>
      </c>
      <c r="AB1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1">
        <f>IF(tblOrdenes[[#This Row],[orden]]="","",_xlfn.XLOOKUP(tblOrdenes[[#This Row],[id_operacion]],tblEjecucion[id_operacion],tblEjecucion[precio],0))</f>
        <v/>
      </c>
      <c r="AJ1112" s="11">
        <f>IF(tblOrdenes[[#This Row],[orden]]="","",MAX(0,_xlfn.XLOOKUP(tblOrdenes[[#This Row],[id_operacion]],tblEjecucion[id_operacion],tblEjecucion[costo_plan_total],0)-tblOrdenes[[#This Row],[costo_servicio]]))</f>
        <v/>
      </c>
      <c r="AK1112" s="11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3">
        <f>IF(tblOrdenes[[#This Row],[fecha_inicio]]="","",TODAY()-tblOrdenes[[#This Row],[fecha_inicio]])</f>
        <v/>
      </c>
      <c r="AB1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1">
        <f>IF(tblOrdenes[[#This Row],[orden]]="","",_xlfn.XLOOKUP(tblOrdenes[[#This Row],[id_operacion]],tblEjecucion[id_operacion],tblEjecucion[precio],0))</f>
        <v/>
      </c>
      <c r="AJ1113" s="11">
        <f>IF(tblOrdenes[[#This Row],[orden]]="","",MAX(0,_xlfn.XLOOKUP(tblOrdenes[[#This Row],[id_operacion]],tblEjecucion[id_operacion],tblEjecucion[costo_plan_total],0)-tblOrdenes[[#This Row],[costo_servicio]]))</f>
        <v/>
      </c>
      <c r="AK1113" s="11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3">
        <f>IF(tblOrdenes[[#This Row],[fecha_inicio]]="","",TODAY()-tblOrdenes[[#This Row],[fecha_inicio]])</f>
        <v/>
      </c>
      <c r="AB1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1">
        <f>IF(tblOrdenes[[#This Row],[orden]]="","",_xlfn.XLOOKUP(tblOrdenes[[#This Row],[id_operacion]],tblEjecucion[id_operacion],tblEjecucion[precio],0))</f>
        <v/>
      </c>
      <c r="AJ1114" s="11">
        <f>IF(tblOrdenes[[#This Row],[orden]]="","",MAX(0,_xlfn.XLOOKUP(tblOrdenes[[#This Row],[id_operacion]],tblEjecucion[id_operacion],tblEjecucion[costo_plan_total],0)-tblOrdenes[[#This Row],[costo_servicio]]))</f>
        <v/>
      </c>
      <c r="AK1114" s="11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3">
        <f>IF(tblOrdenes[[#This Row],[fecha_inicio]]="","",TODAY()-tblOrdenes[[#This Row],[fecha_inicio]])</f>
        <v/>
      </c>
      <c r="AB1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1">
        <f>IF(tblOrdenes[[#This Row],[orden]]="","",_xlfn.XLOOKUP(tblOrdenes[[#This Row],[id_operacion]],tblEjecucion[id_operacion],tblEjecucion[precio],0))</f>
        <v/>
      </c>
      <c r="AJ1115" s="11">
        <f>IF(tblOrdenes[[#This Row],[orden]]="","",MAX(0,_xlfn.XLOOKUP(tblOrdenes[[#This Row],[id_operacion]],tblEjecucion[id_operacion],tblEjecucion[costo_plan_total],0)-tblOrdenes[[#This Row],[costo_servicio]]))</f>
        <v/>
      </c>
      <c r="AK1115" s="11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3">
        <f>IF(tblOrdenes[[#This Row],[fecha_inicio]]="","",TODAY()-tblOrdenes[[#This Row],[fecha_inicio]])</f>
        <v/>
      </c>
      <c r="AB1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1">
        <f>IF(tblOrdenes[[#This Row],[orden]]="","",_xlfn.XLOOKUP(tblOrdenes[[#This Row],[id_operacion]],tblEjecucion[id_operacion],tblEjecucion[precio],0))</f>
        <v/>
      </c>
      <c r="AJ1116" s="11">
        <f>IF(tblOrdenes[[#This Row],[orden]]="","",MAX(0,_xlfn.XLOOKUP(tblOrdenes[[#This Row],[id_operacion]],tblEjecucion[id_operacion],tblEjecucion[costo_plan_total],0)-tblOrdenes[[#This Row],[costo_servicio]]))</f>
        <v/>
      </c>
      <c r="AK1116" s="11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3">
        <f>IF(tblOrdenes[[#This Row],[fecha_inicio]]="","",TODAY()-tblOrdenes[[#This Row],[fecha_inicio]])</f>
        <v/>
      </c>
      <c r="AB1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1">
        <f>IF(tblOrdenes[[#This Row],[orden]]="","",_xlfn.XLOOKUP(tblOrdenes[[#This Row],[id_operacion]],tblEjecucion[id_operacion],tblEjecucion[precio],0))</f>
        <v/>
      </c>
      <c r="AJ1117" s="11">
        <f>IF(tblOrdenes[[#This Row],[orden]]="","",MAX(0,_xlfn.XLOOKUP(tblOrdenes[[#This Row],[id_operacion]],tblEjecucion[id_operacion],tblEjecucion[costo_plan_total],0)-tblOrdenes[[#This Row],[costo_servicio]]))</f>
        <v/>
      </c>
      <c r="AK1117" s="11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3">
        <f>IF(tblOrdenes[[#This Row],[fecha_inicio]]="","",TODAY()-tblOrdenes[[#This Row],[fecha_inicio]])</f>
        <v/>
      </c>
      <c r="AB1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1">
        <f>IF(tblOrdenes[[#This Row],[orden]]="","",_xlfn.XLOOKUP(tblOrdenes[[#This Row],[id_operacion]],tblEjecucion[id_operacion],tblEjecucion[precio],0))</f>
        <v/>
      </c>
      <c r="AJ1118" s="11">
        <f>IF(tblOrdenes[[#This Row],[orden]]="","",MAX(0,_xlfn.XLOOKUP(tblOrdenes[[#This Row],[id_operacion]],tblEjecucion[id_operacion],tblEjecucion[costo_plan_total],0)-tblOrdenes[[#This Row],[costo_servicio]]))</f>
        <v/>
      </c>
      <c r="AK1118" s="11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3">
        <f>IF(tblOrdenes[[#This Row],[fecha_inicio]]="","",TODAY()-tblOrdenes[[#This Row],[fecha_inicio]])</f>
        <v/>
      </c>
      <c r="AB1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1">
        <f>IF(tblOrdenes[[#This Row],[orden]]="","",_xlfn.XLOOKUP(tblOrdenes[[#This Row],[id_operacion]],tblEjecucion[id_operacion],tblEjecucion[precio],0))</f>
        <v/>
      </c>
      <c r="AJ1119" s="11">
        <f>IF(tblOrdenes[[#This Row],[orden]]="","",MAX(0,_xlfn.XLOOKUP(tblOrdenes[[#This Row],[id_operacion]],tblEjecucion[id_operacion],tblEjecucion[costo_plan_total],0)-tblOrdenes[[#This Row],[costo_servicio]]))</f>
        <v/>
      </c>
      <c r="AK1119" s="11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3">
        <f>IF(tblOrdenes[[#This Row],[fecha_inicio]]="","",TODAY()-tblOrdenes[[#This Row],[fecha_inicio]])</f>
        <v/>
      </c>
      <c r="AB1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1">
        <f>IF(tblOrdenes[[#This Row],[orden]]="","",_xlfn.XLOOKUP(tblOrdenes[[#This Row],[id_operacion]],tblEjecucion[id_operacion],tblEjecucion[precio],0))</f>
        <v/>
      </c>
      <c r="AJ1120" s="11">
        <f>IF(tblOrdenes[[#This Row],[orden]]="","",MAX(0,_xlfn.XLOOKUP(tblOrdenes[[#This Row],[id_operacion]],tblEjecucion[id_operacion],tblEjecucion[costo_plan_total],0)-tblOrdenes[[#This Row],[costo_servicio]]))</f>
        <v/>
      </c>
      <c r="AK1120" s="11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3">
        <f>IF(tblOrdenes[[#This Row],[fecha_inicio]]="","",TODAY()-tblOrdenes[[#This Row],[fecha_inicio]])</f>
        <v/>
      </c>
      <c r="AB1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1">
        <f>IF(tblOrdenes[[#This Row],[orden]]="","",_xlfn.XLOOKUP(tblOrdenes[[#This Row],[id_operacion]],tblEjecucion[id_operacion],tblEjecucion[precio],0))</f>
        <v/>
      </c>
      <c r="AJ1121" s="11">
        <f>IF(tblOrdenes[[#This Row],[orden]]="","",MAX(0,_xlfn.XLOOKUP(tblOrdenes[[#This Row],[id_operacion]],tblEjecucion[id_operacion],tblEjecucion[costo_plan_total],0)-tblOrdenes[[#This Row],[costo_servicio]]))</f>
        <v/>
      </c>
      <c r="AK1121" s="11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3">
        <f>IF(tblOrdenes[[#This Row],[fecha_inicio]]="","",TODAY()-tblOrdenes[[#This Row],[fecha_inicio]])</f>
        <v/>
      </c>
      <c r="AB1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1">
        <f>IF(tblOrdenes[[#This Row],[orden]]="","",_xlfn.XLOOKUP(tblOrdenes[[#This Row],[id_operacion]],tblEjecucion[id_operacion],tblEjecucion[precio],0))</f>
        <v/>
      </c>
      <c r="AJ1122" s="11">
        <f>IF(tblOrdenes[[#This Row],[orden]]="","",MAX(0,_xlfn.XLOOKUP(tblOrdenes[[#This Row],[id_operacion]],tblEjecucion[id_operacion],tblEjecucion[costo_plan_total],0)-tblOrdenes[[#This Row],[costo_servicio]]))</f>
        <v/>
      </c>
      <c r="AK1122" s="11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3">
        <f>IF(tblOrdenes[[#This Row],[fecha_inicio]]="","",TODAY()-tblOrdenes[[#This Row],[fecha_inicio]])</f>
        <v/>
      </c>
      <c r="AB1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1">
        <f>IF(tblOrdenes[[#This Row],[orden]]="","",_xlfn.XLOOKUP(tblOrdenes[[#This Row],[id_operacion]],tblEjecucion[id_operacion],tblEjecucion[precio],0))</f>
        <v/>
      </c>
      <c r="AJ1123" s="11">
        <f>IF(tblOrdenes[[#This Row],[orden]]="","",MAX(0,_xlfn.XLOOKUP(tblOrdenes[[#This Row],[id_operacion]],tblEjecucion[id_operacion],tblEjecucion[costo_plan_total],0)-tblOrdenes[[#This Row],[costo_servicio]]))</f>
        <v/>
      </c>
      <c r="AK1123" s="11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3">
        <f>IF(tblOrdenes[[#This Row],[fecha_inicio]]="","",TODAY()-tblOrdenes[[#This Row],[fecha_inicio]])</f>
        <v/>
      </c>
      <c r="AB1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1">
        <f>IF(tblOrdenes[[#This Row],[orden]]="","",_xlfn.XLOOKUP(tblOrdenes[[#This Row],[id_operacion]],tblEjecucion[id_operacion],tblEjecucion[precio],0))</f>
        <v/>
      </c>
      <c r="AJ1124" s="11">
        <f>IF(tblOrdenes[[#This Row],[orden]]="","",MAX(0,_xlfn.XLOOKUP(tblOrdenes[[#This Row],[id_operacion]],tblEjecucion[id_operacion],tblEjecucion[costo_plan_total],0)-tblOrdenes[[#This Row],[costo_servicio]]))</f>
        <v/>
      </c>
      <c r="AK1124" s="11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3">
        <f>IF(tblOrdenes[[#This Row],[fecha_inicio]]="","",TODAY()-tblOrdenes[[#This Row],[fecha_inicio]])</f>
        <v/>
      </c>
      <c r="AB1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1">
        <f>IF(tblOrdenes[[#This Row],[orden]]="","",_xlfn.XLOOKUP(tblOrdenes[[#This Row],[id_operacion]],tblEjecucion[id_operacion],tblEjecucion[precio],0))</f>
        <v/>
      </c>
      <c r="AJ1125" s="11">
        <f>IF(tblOrdenes[[#This Row],[orden]]="","",MAX(0,_xlfn.XLOOKUP(tblOrdenes[[#This Row],[id_operacion]],tblEjecucion[id_operacion],tblEjecucion[costo_plan_total],0)-tblOrdenes[[#This Row],[costo_servicio]]))</f>
        <v/>
      </c>
      <c r="AK1125" s="11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3">
        <f>IF(tblOrdenes[[#This Row],[fecha_inicio]]="","",TODAY()-tblOrdenes[[#This Row],[fecha_inicio]])</f>
        <v/>
      </c>
      <c r="AB1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1">
        <f>IF(tblOrdenes[[#This Row],[orden]]="","",_xlfn.XLOOKUP(tblOrdenes[[#This Row],[id_operacion]],tblEjecucion[id_operacion],tblEjecucion[precio],0))</f>
        <v/>
      </c>
      <c r="AJ1126" s="11">
        <f>IF(tblOrdenes[[#This Row],[orden]]="","",MAX(0,_xlfn.XLOOKUP(tblOrdenes[[#This Row],[id_operacion]],tblEjecucion[id_operacion],tblEjecucion[costo_plan_total],0)-tblOrdenes[[#This Row],[costo_servicio]]))</f>
        <v/>
      </c>
      <c r="AK1126" s="11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3">
        <f>IF(tblOrdenes[[#This Row],[fecha_inicio]]="","",TODAY()-tblOrdenes[[#This Row],[fecha_inicio]])</f>
        <v/>
      </c>
      <c r="AB1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1">
        <f>IF(tblOrdenes[[#This Row],[orden]]="","",_xlfn.XLOOKUP(tblOrdenes[[#This Row],[id_operacion]],tblEjecucion[id_operacion],tblEjecucion[precio],0))</f>
        <v/>
      </c>
      <c r="AJ1127" s="11">
        <f>IF(tblOrdenes[[#This Row],[orden]]="","",MAX(0,_xlfn.XLOOKUP(tblOrdenes[[#This Row],[id_operacion]],tblEjecucion[id_operacion],tblEjecucion[costo_plan_total],0)-tblOrdenes[[#This Row],[costo_servicio]]))</f>
        <v/>
      </c>
      <c r="AK1127" s="11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3">
        <f>IF(tblOrdenes[[#This Row],[fecha_inicio]]="","",TODAY()-tblOrdenes[[#This Row],[fecha_inicio]])</f>
        <v/>
      </c>
      <c r="AB1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1">
        <f>IF(tblOrdenes[[#This Row],[orden]]="","",_xlfn.XLOOKUP(tblOrdenes[[#This Row],[id_operacion]],tblEjecucion[id_operacion],tblEjecucion[precio],0))</f>
        <v/>
      </c>
      <c r="AJ1128" s="11">
        <f>IF(tblOrdenes[[#This Row],[orden]]="","",MAX(0,_xlfn.XLOOKUP(tblOrdenes[[#This Row],[id_operacion]],tblEjecucion[id_operacion],tblEjecucion[costo_plan_total],0)-tblOrdenes[[#This Row],[costo_servicio]]))</f>
        <v/>
      </c>
      <c r="AK1128" s="11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3">
        <f>IF(tblOrdenes[[#This Row],[fecha_inicio]]="","",TODAY()-tblOrdenes[[#This Row],[fecha_inicio]])</f>
        <v/>
      </c>
      <c r="AB1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1">
        <f>IF(tblOrdenes[[#This Row],[orden]]="","",_xlfn.XLOOKUP(tblOrdenes[[#This Row],[id_operacion]],tblEjecucion[id_operacion],tblEjecucion[precio],0))</f>
        <v/>
      </c>
      <c r="AJ1129" s="11">
        <f>IF(tblOrdenes[[#This Row],[orden]]="","",MAX(0,_xlfn.XLOOKUP(tblOrdenes[[#This Row],[id_operacion]],tblEjecucion[id_operacion],tblEjecucion[costo_plan_total],0)-tblOrdenes[[#This Row],[costo_servicio]]))</f>
        <v/>
      </c>
      <c r="AK1129" s="11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3">
        <f>IF(tblOrdenes[[#This Row],[fecha_inicio]]="","",TODAY()-tblOrdenes[[#This Row],[fecha_inicio]])</f>
        <v/>
      </c>
      <c r="AB1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1">
        <f>IF(tblOrdenes[[#This Row],[orden]]="","",_xlfn.XLOOKUP(tblOrdenes[[#This Row],[id_operacion]],tblEjecucion[id_operacion],tblEjecucion[precio],0))</f>
        <v/>
      </c>
      <c r="AJ1130" s="11">
        <f>IF(tblOrdenes[[#This Row],[orden]]="","",MAX(0,_xlfn.XLOOKUP(tblOrdenes[[#This Row],[id_operacion]],tblEjecucion[id_operacion],tblEjecucion[costo_plan_total],0)-tblOrdenes[[#This Row],[costo_servicio]]))</f>
        <v/>
      </c>
      <c r="AK1130" s="11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3">
        <f>IF(tblOrdenes[[#This Row],[fecha_inicio]]="","",TODAY()-tblOrdenes[[#This Row],[fecha_inicio]])</f>
        <v/>
      </c>
      <c r="AB1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1">
        <f>IF(tblOrdenes[[#This Row],[orden]]="","",_xlfn.XLOOKUP(tblOrdenes[[#This Row],[id_operacion]],tblEjecucion[id_operacion],tblEjecucion[precio],0))</f>
        <v/>
      </c>
      <c r="AJ1131" s="11">
        <f>IF(tblOrdenes[[#This Row],[orden]]="","",MAX(0,_xlfn.XLOOKUP(tblOrdenes[[#This Row],[id_operacion]],tblEjecucion[id_operacion],tblEjecucion[costo_plan_total],0)-tblOrdenes[[#This Row],[costo_servicio]]))</f>
        <v/>
      </c>
      <c r="AK1131" s="11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3">
        <f>IF(tblOrdenes[[#This Row],[fecha_inicio]]="","",TODAY()-tblOrdenes[[#This Row],[fecha_inicio]])</f>
        <v/>
      </c>
      <c r="AB1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1">
        <f>IF(tblOrdenes[[#This Row],[orden]]="","",_xlfn.XLOOKUP(tblOrdenes[[#This Row],[id_operacion]],tblEjecucion[id_operacion],tblEjecucion[precio],0))</f>
        <v/>
      </c>
      <c r="AJ1132" s="11">
        <f>IF(tblOrdenes[[#This Row],[orden]]="","",MAX(0,_xlfn.XLOOKUP(tblOrdenes[[#This Row],[id_operacion]],tblEjecucion[id_operacion],tblEjecucion[costo_plan_total],0)-tblOrdenes[[#This Row],[costo_servicio]]))</f>
        <v/>
      </c>
      <c r="AK1132" s="11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3">
        <f>IF(tblOrdenes[[#This Row],[fecha_inicio]]="","",TODAY()-tblOrdenes[[#This Row],[fecha_inicio]])</f>
        <v/>
      </c>
      <c r="AB1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1">
        <f>IF(tblOrdenes[[#This Row],[orden]]="","",_xlfn.XLOOKUP(tblOrdenes[[#This Row],[id_operacion]],tblEjecucion[id_operacion],tblEjecucion[precio],0))</f>
        <v/>
      </c>
      <c r="AJ1133" s="11">
        <f>IF(tblOrdenes[[#This Row],[orden]]="","",MAX(0,_xlfn.XLOOKUP(tblOrdenes[[#This Row],[id_operacion]],tblEjecucion[id_operacion],tblEjecucion[costo_plan_total],0)-tblOrdenes[[#This Row],[costo_servicio]]))</f>
        <v/>
      </c>
      <c r="AK1133" s="11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3">
        <f>IF(tblOrdenes[[#This Row],[fecha_inicio]]="","",TODAY()-tblOrdenes[[#This Row],[fecha_inicio]])</f>
        <v/>
      </c>
      <c r="AB1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1">
        <f>IF(tblOrdenes[[#This Row],[orden]]="","",_xlfn.XLOOKUP(tblOrdenes[[#This Row],[id_operacion]],tblEjecucion[id_operacion],tblEjecucion[precio],0))</f>
        <v/>
      </c>
      <c r="AJ1134" s="11">
        <f>IF(tblOrdenes[[#This Row],[orden]]="","",MAX(0,_xlfn.XLOOKUP(tblOrdenes[[#This Row],[id_operacion]],tblEjecucion[id_operacion],tblEjecucion[costo_plan_total],0)-tblOrdenes[[#This Row],[costo_servicio]]))</f>
        <v/>
      </c>
      <c r="AK1134" s="11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3">
        <f>IF(tblOrdenes[[#This Row],[fecha_inicio]]="","",TODAY()-tblOrdenes[[#This Row],[fecha_inicio]])</f>
        <v/>
      </c>
      <c r="AB1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1">
        <f>IF(tblOrdenes[[#This Row],[orden]]="","",_xlfn.XLOOKUP(tblOrdenes[[#This Row],[id_operacion]],tblEjecucion[id_operacion],tblEjecucion[precio],0))</f>
        <v/>
      </c>
      <c r="AJ1135" s="11">
        <f>IF(tblOrdenes[[#This Row],[orden]]="","",MAX(0,_xlfn.XLOOKUP(tblOrdenes[[#This Row],[id_operacion]],tblEjecucion[id_operacion],tblEjecucion[costo_plan_total],0)-tblOrdenes[[#This Row],[costo_servicio]]))</f>
        <v/>
      </c>
      <c r="AK1135" s="11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3">
        <f>IF(tblOrdenes[[#This Row],[fecha_inicio]]="","",TODAY()-tblOrdenes[[#This Row],[fecha_inicio]])</f>
        <v/>
      </c>
      <c r="AB1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1">
        <f>IF(tblOrdenes[[#This Row],[orden]]="","",_xlfn.XLOOKUP(tblOrdenes[[#This Row],[id_operacion]],tblEjecucion[id_operacion],tblEjecucion[precio],0))</f>
        <v/>
      </c>
      <c r="AJ1136" s="11">
        <f>IF(tblOrdenes[[#This Row],[orden]]="","",MAX(0,_xlfn.XLOOKUP(tblOrdenes[[#This Row],[id_operacion]],tblEjecucion[id_operacion],tblEjecucion[costo_plan_total],0)-tblOrdenes[[#This Row],[costo_servicio]]))</f>
        <v/>
      </c>
      <c r="AK1136" s="11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3">
        <f>IF(tblOrdenes[[#This Row],[fecha_inicio]]="","",TODAY()-tblOrdenes[[#This Row],[fecha_inicio]])</f>
        <v/>
      </c>
      <c r="AB1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1">
        <f>IF(tblOrdenes[[#This Row],[orden]]="","",_xlfn.XLOOKUP(tblOrdenes[[#This Row],[id_operacion]],tblEjecucion[id_operacion],tblEjecucion[precio],0))</f>
        <v/>
      </c>
      <c r="AJ1137" s="11">
        <f>IF(tblOrdenes[[#This Row],[orden]]="","",MAX(0,_xlfn.XLOOKUP(tblOrdenes[[#This Row],[id_operacion]],tblEjecucion[id_operacion],tblEjecucion[costo_plan_total],0)-tblOrdenes[[#This Row],[costo_servicio]]))</f>
        <v/>
      </c>
      <c r="AK1137" s="11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3">
        <f>IF(tblOrdenes[[#This Row],[fecha_inicio]]="","",TODAY()-tblOrdenes[[#This Row],[fecha_inicio]])</f>
        <v/>
      </c>
      <c r="AB1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1">
        <f>IF(tblOrdenes[[#This Row],[orden]]="","",_xlfn.XLOOKUP(tblOrdenes[[#This Row],[id_operacion]],tblEjecucion[id_operacion],tblEjecucion[precio],0))</f>
        <v/>
      </c>
      <c r="AJ1138" s="11">
        <f>IF(tblOrdenes[[#This Row],[orden]]="","",MAX(0,_xlfn.XLOOKUP(tblOrdenes[[#This Row],[id_operacion]],tblEjecucion[id_operacion],tblEjecucion[costo_plan_total],0)-tblOrdenes[[#This Row],[costo_servicio]]))</f>
        <v/>
      </c>
      <c r="AK1138" s="11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3">
        <f>IF(tblOrdenes[[#This Row],[fecha_inicio]]="","",TODAY()-tblOrdenes[[#This Row],[fecha_inicio]])</f>
        <v/>
      </c>
      <c r="AB1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1">
        <f>IF(tblOrdenes[[#This Row],[orden]]="","",_xlfn.XLOOKUP(tblOrdenes[[#This Row],[id_operacion]],tblEjecucion[id_operacion],tblEjecucion[precio],0))</f>
        <v/>
      </c>
      <c r="AJ1139" s="11">
        <f>IF(tblOrdenes[[#This Row],[orden]]="","",MAX(0,_xlfn.XLOOKUP(tblOrdenes[[#This Row],[id_operacion]],tblEjecucion[id_operacion],tblEjecucion[costo_plan_total],0)-tblOrdenes[[#This Row],[costo_servicio]]))</f>
        <v/>
      </c>
      <c r="AK1139" s="11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3">
        <f>IF(tblOrdenes[[#This Row],[fecha_inicio]]="","",TODAY()-tblOrdenes[[#This Row],[fecha_inicio]])</f>
        <v/>
      </c>
      <c r="AB1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1">
        <f>IF(tblOrdenes[[#This Row],[orden]]="","",_xlfn.XLOOKUP(tblOrdenes[[#This Row],[id_operacion]],tblEjecucion[id_operacion],tblEjecucion[precio],0))</f>
        <v/>
      </c>
      <c r="AJ1140" s="11">
        <f>IF(tblOrdenes[[#This Row],[orden]]="","",MAX(0,_xlfn.XLOOKUP(tblOrdenes[[#This Row],[id_operacion]],tblEjecucion[id_operacion],tblEjecucion[costo_plan_total],0)-tblOrdenes[[#This Row],[costo_servicio]]))</f>
        <v/>
      </c>
      <c r="AK1140" s="11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3">
        <f>IF(tblOrdenes[[#This Row],[fecha_inicio]]="","",TODAY()-tblOrdenes[[#This Row],[fecha_inicio]])</f>
        <v/>
      </c>
      <c r="AB1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1">
        <f>IF(tblOrdenes[[#This Row],[orden]]="","",_xlfn.XLOOKUP(tblOrdenes[[#This Row],[id_operacion]],tblEjecucion[id_operacion],tblEjecucion[precio],0))</f>
        <v/>
      </c>
      <c r="AJ1141" s="11">
        <f>IF(tblOrdenes[[#This Row],[orden]]="","",MAX(0,_xlfn.XLOOKUP(tblOrdenes[[#This Row],[id_operacion]],tblEjecucion[id_operacion],tblEjecucion[costo_plan_total],0)-tblOrdenes[[#This Row],[costo_servicio]]))</f>
        <v/>
      </c>
      <c r="AK1141" s="11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3">
        <f>IF(tblOrdenes[[#This Row],[fecha_inicio]]="","",TODAY()-tblOrdenes[[#This Row],[fecha_inicio]])</f>
        <v/>
      </c>
      <c r="AB1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1">
        <f>IF(tblOrdenes[[#This Row],[orden]]="","",_xlfn.XLOOKUP(tblOrdenes[[#This Row],[id_operacion]],tblEjecucion[id_operacion],tblEjecucion[precio],0))</f>
        <v/>
      </c>
      <c r="AJ1142" s="11">
        <f>IF(tblOrdenes[[#This Row],[orden]]="","",MAX(0,_xlfn.XLOOKUP(tblOrdenes[[#This Row],[id_operacion]],tblEjecucion[id_operacion],tblEjecucion[costo_plan_total],0)-tblOrdenes[[#This Row],[costo_servicio]]))</f>
        <v/>
      </c>
      <c r="AK1142" s="11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3">
        <f>IF(tblOrdenes[[#This Row],[fecha_inicio]]="","",TODAY()-tblOrdenes[[#This Row],[fecha_inicio]])</f>
        <v/>
      </c>
      <c r="AB1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1">
        <f>IF(tblOrdenes[[#This Row],[orden]]="","",_xlfn.XLOOKUP(tblOrdenes[[#This Row],[id_operacion]],tblEjecucion[id_operacion],tblEjecucion[precio],0))</f>
        <v/>
      </c>
      <c r="AJ1143" s="11">
        <f>IF(tblOrdenes[[#This Row],[orden]]="","",MAX(0,_xlfn.XLOOKUP(tblOrdenes[[#This Row],[id_operacion]],tblEjecucion[id_operacion],tblEjecucion[costo_plan_total],0)-tblOrdenes[[#This Row],[costo_servicio]]))</f>
        <v/>
      </c>
      <c r="AK1143" s="11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3">
        <f>IF(tblOrdenes[[#This Row],[fecha_inicio]]="","",TODAY()-tblOrdenes[[#This Row],[fecha_inicio]])</f>
        <v/>
      </c>
      <c r="AB1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1">
        <f>IF(tblOrdenes[[#This Row],[orden]]="","",_xlfn.XLOOKUP(tblOrdenes[[#This Row],[id_operacion]],tblEjecucion[id_operacion],tblEjecucion[precio],0))</f>
        <v/>
      </c>
      <c r="AJ1144" s="11">
        <f>IF(tblOrdenes[[#This Row],[orden]]="","",MAX(0,_xlfn.XLOOKUP(tblOrdenes[[#This Row],[id_operacion]],tblEjecucion[id_operacion],tblEjecucion[costo_plan_total],0)-tblOrdenes[[#This Row],[costo_servicio]]))</f>
        <v/>
      </c>
      <c r="AK1144" s="11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3">
        <f>IF(tblOrdenes[[#This Row],[fecha_inicio]]="","",TODAY()-tblOrdenes[[#This Row],[fecha_inicio]])</f>
        <v/>
      </c>
      <c r="AB1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1">
        <f>IF(tblOrdenes[[#This Row],[orden]]="","",_xlfn.XLOOKUP(tblOrdenes[[#This Row],[id_operacion]],tblEjecucion[id_operacion],tblEjecucion[precio],0))</f>
        <v/>
      </c>
      <c r="AJ1145" s="11">
        <f>IF(tblOrdenes[[#This Row],[orden]]="","",MAX(0,_xlfn.XLOOKUP(tblOrdenes[[#This Row],[id_operacion]],tblEjecucion[id_operacion],tblEjecucion[costo_plan_total],0)-tblOrdenes[[#This Row],[costo_servicio]]))</f>
        <v/>
      </c>
      <c r="AK1145" s="11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3">
        <f>IF(tblOrdenes[[#This Row],[fecha_inicio]]="","",TODAY()-tblOrdenes[[#This Row],[fecha_inicio]])</f>
        <v/>
      </c>
      <c r="AB1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1">
        <f>IF(tblOrdenes[[#This Row],[orden]]="","",_xlfn.XLOOKUP(tblOrdenes[[#This Row],[id_operacion]],tblEjecucion[id_operacion],tblEjecucion[precio],0))</f>
        <v/>
      </c>
      <c r="AJ1146" s="11">
        <f>IF(tblOrdenes[[#This Row],[orden]]="","",MAX(0,_xlfn.XLOOKUP(tblOrdenes[[#This Row],[id_operacion]],tblEjecucion[id_operacion],tblEjecucion[costo_plan_total],0)-tblOrdenes[[#This Row],[costo_servicio]]))</f>
        <v/>
      </c>
      <c r="AK1146" s="11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3">
        <f>IF(tblOrdenes[[#This Row],[fecha_inicio]]="","",TODAY()-tblOrdenes[[#This Row],[fecha_inicio]])</f>
        <v/>
      </c>
      <c r="AB1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1">
        <f>IF(tblOrdenes[[#This Row],[orden]]="","",_xlfn.XLOOKUP(tblOrdenes[[#This Row],[id_operacion]],tblEjecucion[id_operacion],tblEjecucion[precio],0))</f>
        <v/>
      </c>
      <c r="AJ1147" s="11">
        <f>IF(tblOrdenes[[#This Row],[orden]]="","",MAX(0,_xlfn.XLOOKUP(tblOrdenes[[#This Row],[id_operacion]],tblEjecucion[id_operacion],tblEjecucion[costo_plan_total],0)-tblOrdenes[[#This Row],[costo_servicio]]))</f>
        <v/>
      </c>
      <c r="AK1147" s="11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3">
        <f>IF(tblOrdenes[[#This Row],[fecha_inicio]]="","",TODAY()-tblOrdenes[[#This Row],[fecha_inicio]])</f>
        <v/>
      </c>
      <c r="AB1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1">
        <f>IF(tblOrdenes[[#This Row],[orden]]="","",_xlfn.XLOOKUP(tblOrdenes[[#This Row],[id_operacion]],tblEjecucion[id_operacion],tblEjecucion[precio],0))</f>
        <v/>
      </c>
      <c r="AJ1148" s="11">
        <f>IF(tblOrdenes[[#This Row],[orden]]="","",MAX(0,_xlfn.XLOOKUP(tblOrdenes[[#This Row],[id_operacion]],tblEjecucion[id_operacion],tblEjecucion[costo_plan_total],0)-tblOrdenes[[#This Row],[costo_servicio]]))</f>
        <v/>
      </c>
      <c r="AK1148" s="11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3">
        <f>IF(tblOrdenes[[#This Row],[fecha_inicio]]="","",TODAY()-tblOrdenes[[#This Row],[fecha_inicio]])</f>
        <v/>
      </c>
      <c r="AB1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1">
        <f>IF(tblOrdenes[[#This Row],[orden]]="","",_xlfn.XLOOKUP(tblOrdenes[[#This Row],[id_operacion]],tblEjecucion[id_operacion],tblEjecucion[precio],0))</f>
        <v/>
      </c>
      <c r="AJ1149" s="11">
        <f>IF(tblOrdenes[[#This Row],[orden]]="","",MAX(0,_xlfn.XLOOKUP(tblOrdenes[[#This Row],[id_operacion]],tblEjecucion[id_operacion],tblEjecucion[costo_plan_total],0)-tblOrdenes[[#This Row],[costo_servicio]]))</f>
        <v/>
      </c>
      <c r="AK1149" s="11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3">
        <f>IF(tblOrdenes[[#This Row],[fecha_inicio]]="","",TODAY()-tblOrdenes[[#This Row],[fecha_inicio]])</f>
        <v/>
      </c>
      <c r="AB1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1">
        <f>IF(tblOrdenes[[#This Row],[orden]]="","",_xlfn.XLOOKUP(tblOrdenes[[#This Row],[id_operacion]],tblEjecucion[id_operacion],tblEjecucion[precio],0))</f>
        <v/>
      </c>
      <c r="AJ1150" s="11">
        <f>IF(tblOrdenes[[#This Row],[orden]]="","",MAX(0,_xlfn.XLOOKUP(tblOrdenes[[#This Row],[id_operacion]],tblEjecucion[id_operacion],tblEjecucion[costo_plan_total],0)-tblOrdenes[[#This Row],[costo_servicio]]))</f>
        <v/>
      </c>
      <c r="AK1150" s="11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3">
        <f>IF(tblOrdenes[[#This Row],[fecha_inicio]]="","",TODAY()-tblOrdenes[[#This Row],[fecha_inicio]])</f>
        <v/>
      </c>
      <c r="AB1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1">
        <f>IF(tblOrdenes[[#This Row],[orden]]="","",_xlfn.XLOOKUP(tblOrdenes[[#This Row],[id_operacion]],tblEjecucion[id_operacion],tblEjecucion[precio],0))</f>
        <v/>
      </c>
      <c r="AJ1151" s="11">
        <f>IF(tblOrdenes[[#This Row],[orden]]="","",MAX(0,_xlfn.XLOOKUP(tblOrdenes[[#This Row],[id_operacion]],tblEjecucion[id_operacion],tblEjecucion[costo_plan_total],0)-tblOrdenes[[#This Row],[costo_servicio]]))</f>
        <v/>
      </c>
      <c r="AK1151" s="11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3">
        <f>IF(tblOrdenes[[#This Row],[fecha_inicio]]="","",TODAY()-tblOrdenes[[#This Row],[fecha_inicio]])</f>
        <v/>
      </c>
      <c r="AB1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1">
        <f>IF(tblOrdenes[[#This Row],[orden]]="","",_xlfn.XLOOKUP(tblOrdenes[[#This Row],[id_operacion]],tblEjecucion[id_operacion],tblEjecucion[precio],0))</f>
        <v/>
      </c>
      <c r="AJ1152" s="11">
        <f>IF(tblOrdenes[[#This Row],[orden]]="","",MAX(0,_xlfn.XLOOKUP(tblOrdenes[[#This Row],[id_operacion]],tblEjecucion[id_operacion],tblEjecucion[costo_plan_total],0)-tblOrdenes[[#This Row],[costo_servicio]]))</f>
        <v/>
      </c>
      <c r="AK1152" s="11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3">
        <f>IF(tblOrdenes[[#This Row],[fecha_inicio]]="","",TODAY()-tblOrdenes[[#This Row],[fecha_inicio]])</f>
        <v/>
      </c>
      <c r="AB1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1">
        <f>IF(tblOrdenes[[#This Row],[orden]]="","",_xlfn.XLOOKUP(tblOrdenes[[#This Row],[id_operacion]],tblEjecucion[id_operacion],tblEjecucion[precio],0))</f>
        <v/>
      </c>
      <c r="AJ1153" s="11">
        <f>IF(tblOrdenes[[#This Row],[orden]]="","",MAX(0,_xlfn.XLOOKUP(tblOrdenes[[#This Row],[id_operacion]],tblEjecucion[id_operacion],tblEjecucion[costo_plan_total],0)-tblOrdenes[[#This Row],[costo_servicio]]))</f>
        <v/>
      </c>
      <c r="AK1153" s="11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3">
        <f>IF(tblOrdenes[[#This Row],[fecha_inicio]]="","",TODAY()-tblOrdenes[[#This Row],[fecha_inicio]])</f>
        <v/>
      </c>
      <c r="AB1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1">
        <f>IF(tblOrdenes[[#This Row],[orden]]="","",_xlfn.XLOOKUP(tblOrdenes[[#This Row],[id_operacion]],tblEjecucion[id_operacion],tblEjecucion[precio],0))</f>
        <v/>
      </c>
      <c r="AJ1154" s="11">
        <f>IF(tblOrdenes[[#This Row],[orden]]="","",MAX(0,_xlfn.XLOOKUP(tblOrdenes[[#This Row],[id_operacion]],tblEjecucion[id_operacion],tblEjecucion[costo_plan_total],0)-tblOrdenes[[#This Row],[costo_servicio]]))</f>
        <v/>
      </c>
      <c r="AK1154" s="11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3">
        <f>IF(tblOrdenes[[#This Row],[fecha_inicio]]="","",TODAY()-tblOrdenes[[#This Row],[fecha_inicio]])</f>
        <v/>
      </c>
      <c r="AB1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1">
        <f>IF(tblOrdenes[[#This Row],[orden]]="","",_xlfn.XLOOKUP(tblOrdenes[[#This Row],[id_operacion]],tblEjecucion[id_operacion],tblEjecucion[precio],0))</f>
        <v/>
      </c>
      <c r="AJ1155" s="11">
        <f>IF(tblOrdenes[[#This Row],[orden]]="","",MAX(0,_xlfn.XLOOKUP(tblOrdenes[[#This Row],[id_operacion]],tblEjecucion[id_operacion],tblEjecucion[costo_plan_total],0)-tblOrdenes[[#This Row],[costo_servicio]]))</f>
        <v/>
      </c>
      <c r="AK1155" s="11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3">
        <f>IF(tblOrdenes[[#This Row],[fecha_inicio]]="","",TODAY()-tblOrdenes[[#This Row],[fecha_inicio]])</f>
        <v/>
      </c>
      <c r="AB1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1">
        <f>IF(tblOrdenes[[#This Row],[orden]]="","",_xlfn.XLOOKUP(tblOrdenes[[#This Row],[id_operacion]],tblEjecucion[id_operacion],tblEjecucion[precio],0))</f>
        <v/>
      </c>
      <c r="AJ1156" s="11">
        <f>IF(tblOrdenes[[#This Row],[orden]]="","",MAX(0,_xlfn.XLOOKUP(tblOrdenes[[#This Row],[id_operacion]],tblEjecucion[id_operacion],tblEjecucion[costo_plan_total],0)-tblOrdenes[[#This Row],[costo_servicio]]))</f>
        <v/>
      </c>
      <c r="AK1156" s="11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3">
        <f>IF(tblOrdenes[[#This Row],[fecha_inicio]]="","",TODAY()-tblOrdenes[[#This Row],[fecha_inicio]])</f>
        <v/>
      </c>
      <c r="AB1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1">
        <f>IF(tblOrdenes[[#This Row],[orden]]="","",_xlfn.XLOOKUP(tblOrdenes[[#This Row],[id_operacion]],tblEjecucion[id_operacion],tblEjecucion[precio],0))</f>
        <v/>
      </c>
      <c r="AJ1157" s="11">
        <f>IF(tblOrdenes[[#This Row],[orden]]="","",MAX(0,_xlfn.XLOOKUP(tblOrdenes[[#This Row],[id_operacion]],tblEjecucion[id_operacion],tblEjecucion[costo_plan_total],0)-tblOrdenes[[#This Row],[costo_servicio]]))</f>
        <v/>
      </c>
      <c r="AK1157" s="11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3">
        <f>IF(tblOrdenes[[#This Row],[fecha_inicio]]="","",TODAY()-tblOrdenes[[#This Row],[fecha_inicio]])</f>
        <v/>
      </c>
      <c r="AB1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1">
        <f>IF(tblOrdenes[[#This Row],[orden]]="","",_xlfn.XLOOKUP(tblOrdenes[[#This Row],[id_operacion]],tblEjecucion[id_operacion],tblEjecucion[precio],0))</f>
        <v/>
      </c>
      <c r="AJ1158" s="11">
        <f>IF(tblOrdenes[[#This Row],[orden]]="","",MAX(0,_xlfn.XLOOKUP(tblOrdenes[[#This Row],[id_operacion]],tblEjecucion[id_operacion],tblEjecucion[costo_plan_total],0)-tblOrdenes[[#This Row],[costo_servicio]]))</f>
        <v/>
      </c>
      <c r="AK1158" s="11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3">
        <f>IF(tblOrdenes[[#This Row],[fecha_inicio]]="","",TODAY()-tblOrdenes[[#This Row],[fecha_inicio]])</f>
        <v/>
      </c>
      <c r="AB1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1">
        <f>IF(tblOrdenes[[#This Row],[orden]]="","",_xlfn.XLOOKUP(tblOrdenes[[#This Row],[id_operacion]],tblEjecucion[id_operacion],tblEjecucion[precio],0))</f>
        <v/>
      </c>
      <c r="AJ1159" s="11">
        <f>IF(tblOrdenes[[#This Row],[orden]]="","",MAX(0,_xlfn.XLOOKUP(tblOrdenes[[#This Row],[id_operacion]],tblEjecucion[id_operacion],tblEjecucion[costo_plan_total],0)-tblOrdenes[[#This Row],[costo_servicio]]))</f>
        <v/>
      </c>
      <c r="AK1159" s="11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3">
        <f>IF(tblOrdenes[[#This Row],[fecha_inicio]]="","",TODAY()-tblOrdenes[[#This Row],[fecha_inicio]])</f>
        <v/>
      </c>
      <c r="AB1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1">
        <f>IF(tblOrdenes[[#This Row],[orden]]="","",_xlfn.XLOOKUP(tblOrdenes[[#This Row],[id_operacion]],tblEjecucion[id_operacion],tblEjecucion[precio],0))</f>
        <v/>
      </c>
      <c r="AJ1160" s="11">
        <f>IF(tblOrdenes[[#This Row],[orden]]="","",MAX(0,_xlfn.XLOOKUP(tblOrdenes[[#This Row],[id_operacion]],tblEjecucion[id_operacion],tblEjecucion[costo_plan_total],0)-tblOrdenes[[#This Row],[costo_servicio]]))</f>
        <v/>
      </c>
      <c r="AK1160" s="11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3">
        <f>IF(tblOrdenes[[#This Row],[fecha_inicio]]="","",TODAY()-tblOrdenes[[#This Row],[fecha_inicio]])</f>
        <v/>
      </c>
      <c r="AB1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1">
        <f>IF(tblOrdenes[[#This Row],[orden]]="","",_xlfn.XLOOKUP(tblOrdenes[[#This Row],[id_operacion]],tblEjecucion[id_operacion],tblEjecucion[precio],0))</f>
        <v/>
      </c>
      <c r="AJ1161" s="11">
        <f>IF(tblOrdenes[[#This Row],[orden]]="","",MAX(0,_xlfn.XLOOKUP(tblOrdenes[[#This Row],[id_operacion]],tblEjecucion[id_operacion],tblEjecucion[costo_plan_total],0)-tblOrdenes[[#This Row],[costo_servicio]]))</f>
        <v/>
      </c>
      <c r="AK1161" s="11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3">
        <f>IF(tblOrdenes[[#This Row],[fecha_inicio]]="","",TODAY()-tblOrdenes[[#This Row],[fecha_inicio]])</f>
        <v/>
      </c>
      <c r="AB1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1">
        <f>IF(tblOrdenes[[#This Row],[orden]]="","",_xlfn.XLOOKUP(tblOrdenes[[#This Row],[id_operacion]],tblEjecucion[id_operacion],tblEjecucion[precio],0))</f>
        <v/>
      </c>
      <c r="AJ1162" s="11">
        <f>IF(tblOrdenes[[#This Row],[orden]]="","",MAX(0,_xlfn.XLOOKUP(tblOrdenes[[#This Row],[id_operacion]],tblEjecucion[id_operacion],tblEjecucion[costo_plan_total],0)-tblOrdenes[[#This Row],[costo_servicio]]))</f>
        <v/>
      </c>
      <c r="AK1162" s="11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3">
        <f>IF(tblOrdenes[[#This Row],[fecha_inicio]]="","",TODAY()-tblOrdenes[[#This Row],[fecha_inicio]])</f>
        <v/>
      </c>
      <c r="AB1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1">
        <f>IF(tblOrdenes[[#This Row],[orden]]="","",_xlfn.XLOOKUP(tblOrdenes[[#This Row],[id_operacion]],tblEjecucion[id_operacion],tblEjecucion[precio],0))</f>
        <v/>
      </c>
      <c r="AJ1163" s="11">
        <f>IF(tblOrdenes[[#This Row],[orden]]="","",MAX(0,_xlfn.XLOOKUP(tblOrdenes[[#This Row],[id_operacion]],tblEjecucion[id_operacion],tblEjecucion[costo_plan_total],0)-tblOrdenes[[#This Row],[costo_servicio]]))</f>
        <v/>
      </c>
      <c r="AK1163" s="11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3">
        <f>IF(tblOrdenes[[#This Row],[fecha_inicio]]="","",TODAY()-tblOrdenes[[#This Row],[fecha_inicio]])</f>
        <v/>
      </c>
      <c r="AB1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1">
        <f>IF(tblOrdenes[[#This Row],[orden]]="","",_xlfn.XLOOKUP(tblOrdenes[[#This Row],[id_operacion]],tblEjecucion[id_operacion],tblEjecucion[precio],0))</f>
        <v/>
      </c>
      <c r="AJ1164" s="11">
        <f>IF(tblOrdenes[[#This Row],[orden]]="","",MAX(0,_xlfn.XLOOKUP(tblOrdenes[[#This Row],[id_operacion]],tblEjecucion[id_operacion],tblEjecucion[costo_plan_total],0)-tblOrdenes[[#This Row],[costo_servicio]]))</f>
        <v/>
      </c>
      <c r="AK1164" s="11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3">
        <f>IF(tblOrdenes[[#This Row],[fecha_inicio]]="","",TODAY()-tblOrdenes[[#This Row],[fecha_inicio]])</f>
        <v/>
      </c>
      <c r="AB1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1">
        <f>IF(tblOrdenes[[#This Row],[orden]]="","",_xlfn.XLOOKUP(tblOrdenes[[#This Row],[id_operacion]],tblEjecucion[id_operacion],tblEjecucion[precio],0))</f>
        <v/>
      </c>
      <c r="AJ1165" s="11">
        <f>IF(tblOrdenes[[#This Row],[orden]]="","",MAX(0,_xlfn.XLOOKUP(tblOrdenes[[#This Row],[id_operacion]],tblEjecucion[id_operacion],tblEjecucion[costo_plan_total],0)-tblOrdenes[[#This Row],[costo_servicio]]))</f>
        <v/>
      </c>
      <c r="AK1165" s="11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3">
        <f>IF(tblOrdenes[[#This Row],[fecha_inicio]]="","",TODAY()-tblOrdenes[[#This Row],[fecha_inicio]])</f>
        <v/>
      </c>
      <c r="AB1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1">
        <f>IF(tblOrdenes[[#This Row],[orden]]="","",_xlfn.XLOOKUP(tblOrdenes[[#This Row],[id_operacion]],tblEjecucion[id_operacion],tblEjecucion[precio],0))</f>
        <v/>
      </c>
      <c r="AJ1166" s="11">
        <f>IF(tblOrdenes[[#This Row],[orden]]="","",MAX(0,_xlfn.XLOOKUP(tblOrdenes[[#This Row],[id_operacion]],tblEjecucion[id_operacion],tblEjecucion[costo_plan_total],0)-tblOrdenes[[#This Row],[costo_servicio]]))</f>
        <v/>
      </c>
      <c r="AK1166" s="11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3">
        <f>IF(tblOrdenes[[#This Row],[fecha_inicio]]="","",TODAY()-tblOrdenes[[#This Row],[fecha_inicio]])</f>
        <v/>
      </c>
      <c r="AB1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1">
        <f>IF(tblOrdenes[[#This Row],[orden]]="","",_xlfn.XLOOKUP(tblOrdenes[[#This Row],[id_operacion]],tblEjecucion[id_operacion],tblEjecucion[precio],0))</f>
        <v/>
      </c>
      <c r="AJ1167" s="11">
        <f>IF(tblOrdenes[[#This Row],[orden]]="","",MAX(0,_xlfn.XLOOKUP(tblOrdenes[[#This Row],[id_operacion]],tblEjecucion[id_operacion],tblEjecucion[costo_plan_total],0)-tblOrdenes[[#This Row],[costo_servicio]]))</f>
        <v/>
      </c>
      <c r="AK1167" s="11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3">
        <f>IF(tblOrdenes[[#This Row],[fecha_inicio]]="","",TODAY()-tblOrdenes[[#This Row],[fecha_inicio]])</f>
        <v/>
      </c>
      <c r="AB1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1">
        <f>IF(tblOrdenes[[#This Row],[orden]]="","",_xlfn.XLOOKUP(tblOrdenes[[#This Row],[id_operacion]],tblEjecucion[id_operacion],tblEjecucion[precio],0))</f>
        <v/>
      </c>
      <c r="AJ1168" s="11">
        <f>IF(tblOrdenes[[#This Row],[orden]]="","",MAX(0,_xlfn.XLOOKUP(tblOrdenes[[#This Row],[id_operacion]],tblEjecucion[id_operacion],tblEjecucion[costo_plan_total],0)-tblOrdenes[[#This Row],[costo_servicio]]))</f>
        <v/>
      </c>
      <c r="AK1168" s="11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3">
        <f>IF(tblOrdenes[[#This Row],[fecha_inicio]]="","",TODAY()-tblOrdenes[[#This Row],[fecha_inicio]])</f>
        <v/>
      </c>
      <c r="AB1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1">
        <f>IF(tblOrdenes[[#This Row],[orden]]="","",_xlfn.XLOOKUP(tblOrdenes[[#This Row],[id_operacion]],tblEjecucion[id_operacion],tblEjecucion[precio],0))</f>
        <v/>
      </c>
      <c r="AJ1169" s="11">
        <f>IF(tblOrdenes[[#This Row],[orden]]="","",MAX(0,_xlfn.XLOOKUP(tblOrdenes[[#This Row],[id_operacion]],tblEjecucion[id_operacion],tblEjecucion[costo_plan_total],0)-tblOrdenes[[#This Row],[costo_servicio]]))</f>
        <v/>
      </c>
      <c r="AK1169" s="11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3">
        <f>IF(tblOrdenes[[#This Row],[fecha_inicio]]="","",TODAY()-tblOrdenes[[#This Row],[fecha_inicio]])</f>
        <v/>
      </c>
      <c r="AB1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1">
        <f>IF(tblOrdenes[[#This Row],[orden]]="","",_xlfn.XLOOKUP(tblOrdenes[[#This Row],[id_operacion]],tblEjecucion[id_operacion],tblEjecucion[precio],0))</f>
        <v/>
      </c>
      <c r="AJ1170" s="11">
        <f>IF(tblOrdenes[[#This Row],[orden]]="","",MAX(0,_xlfn.XLOOKUP(tblOrdenes[[#This Row],[id_operacion]],tblEjecucion[id_operacion],tblEjecucion[costo_plan_total],0)-tblOrdenes[[#This Row],[costo_servicio]]))</f>
        <v/>
      </c>
      <c r="AK1170" s="11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3">
        <f>IF(tblOrdenes[[#This Row],[fecha_inicio]]="","",TODAY()-tblOrdenes[[#This Row],[fecha_inicio]])</f>
        <v/>
      </c>
      <c r="AB1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1">
        <f>IF(tblOrdenes[[#This Row],[orden]]="","",_xlfn.XLOOKUP(tblOrdenes[[#This Row],[id_operacion]],tblEjecucion[id_operacion],tblEjecucion[precio],0))</f>
        <v/>
      </c>
      <c r="AJ1171" s="11">
        <f>IF(tblOrdenes[[#This Row],[orden]]="","",MAX(0,_xlfn.XLOOKUP(tblOrdenes[[#This Row],[id_operacion]],tblEjecucion[id_operacion],tblEjecucion[costo_plan_total],0)-tblOrdenes[[#This Row],[costo_servicio]]))</f>
        <v/>
      </c>
      <c r="AK1171" s="11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3">
        <f>IF(tblOrdenes[[#This Row],[fecha_inicio]]="","",TODAY()-tblOrdenes[[#This Row],[fecha_inicio]])</f>
        <v/>
      </c>
      <c r="AB1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1">
        <f>IF(tblOrdenes[[#This Row],[orden]]="","",_xlfn.XLOOKUP(tblOrdenes[[#This Row],[id_operacion]],tblEjecucion[id_operacion],tblEjecucion[precio],0))</f>
        <v/>
      </c>
      <c r="AJ1172" s="11">
        <f>IF(tblOrdenes[[#This Row],[orden]]="","",MAX(0,_xlfn.XLOOKUP(tblOrdenes[[#This Row],[id_operacion]],tblEjecucion[id_operacion],tblEjecucion[costo_plan_total],0)-tblOrdenes[[#This Row],[costo_servicio]]))</f>
        <v/>
      </c>
      <c r="AK1172" s="11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3">
        <f>IF(tblOrdenes[[#This Row],[fecha_inicio]]="","",TODAY()-tblOrdenes[[#This Row],[fecha_inicio]])</f>
        <v/>
      </c>
      <c r="AB1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1">
        <f>IF(tblOrdenes[[#This Row],[orden]]="","",_xlfn.XLOOKUP(tblOrdenes[[#This Row],[id_operacion]],tblEjecucion[id_operacion],tblEjecucion[precio],0))</f>
        <v/>
      </c>
      <c r="AJ1173" s="11">
        <f>IF(tblOrdenes[[#This Row],[orden]]="","",MAX(0,_xlfn.XLOOKUP(tblOrdenes[[#This Row],[id_operacion]],tblEjecucion[id_operacion],tblEjecucion[costo_plan_total],0)-tblOrdenes[[#This Row],[costo_servicio]]))</f>
        <v/>
      </c>
      <c r="AK1173" s="11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3">
        <f>IF(tblOrdenes[[#This Row],[fecha_inicio]]="","",TODAY()-tblOrdenes[[#This Row],[fecha_inicio]])</f>
        <v/>
      </c>
      <c r="AB1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1">
        <f>IF(tblOrdenes[[#This Row],[orden]]="","",_xlfn.XLOOKUP(tblOrdenes[[#This Row],[id_operacion]],tblEjecucion[id_operacion],tblEjecucion[precio],0))</f>
        <v/>
      </c>
      <c r="AJ1174" s="11">
        <f>IF(tblOrdenes[[#This Row],[orden]]="","",MAX(0,_xlfn.XLOOKUP(tblOrdenes[[#This Row],[id_operacion]],tblEjecucion[id_operacion],tblEjecucion[costo_plan_total],0)-tblOrdenes[[#This Row],[costo_servicio]]))</f>
        <v/>
      </c>
      <c r="AK1174" s="11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3">
        <f>IF(tblOrdenes[[#This Row],[fecha_inicio]]="","",TODAY()-tblOrdenes[[#This Row],[fecha_inicio]])</f>
        <v/>
      </c>
      <c r="AB1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1">
        <f>IF(tblOrdenes[[#This Row],[orden]]="","",_xlfn.XLOOKUP(tblOrdenes[[#This Row],[id_operacion]],tblEjecucion[id_operacion],tblEjecucion[precio],0))</f>
        <v/>
      </c>
      <c r="AJ1175" s="11">
        <f>IF(tblOrdenes[[#This Row],[orden]]="","",MAX(0,_xlfn.XLOOKUP(tblOrdenes[[#This Row],[id_operacion]],tblEjecucion[id_operacion],tblEjecucion[costo_plan_total],0)-tblOrdenes[[#This Row],[costo_servicio]]))</f>
        <v/>
      </c>
      <c r="AK1175" s="11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3">
        <f>IF(tblOrdenes[[#This Row],[fecha_inicio]]="","",TODAY()-tblOrdenes[[#This Row],[fecha_inicio]])</f>
        <v/>
      </c>
      <c r="AB1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1">
        <f>IF(tblOrdenes[[#This Row],[orden]]="","",_xlfn.XLOOKUP(tblOrdenes[[#This Row],[id_operacion]],tblEjecucion[id_operacion],tblEjecucion[precio],0))</f>
        <v/>
      </c>
      <c r="AJ1176" s="11">
        <f>IF(tblOrdenes[[#This Row],[orden]]="","",MAX(0,_xlfn.XLOOKUP(tblOrdenes[[#This Row],[id_operacion]],tblEjecucion[id_operacion],tblEjecucion[costo_plan_total],0)-tblOrdenes[[#This Row],[costo_servicio]]))</f>
        <v/>
      </c>
      <c r="AK1176" s="11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3">
        <f>IF(tblOrdenes[[#This Row],[fecha_inicio]]="","",TODAY()-tblOrdenes[[#This Row],[fecha_inicio]])</f>
        <v/>
      </c>
      <c r="AB1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1">
        <f>IF(tblOrdenes[[#This Row],[orden]]="","",_xlfn.XLOOKUP(tblOrdenes[[#This Row],[id_operacion]],tblEjecucion[id_operacion],tblEjecucion[precio],0))</f>
        <v/>
      </c>
      <c r="AJ1177" s="11">
        <f>IF(tblOrdenes[[#This Row],[orden]]="","",MAX(0,_xlfn.XLOOKUP(tblOrdenes[[#This Row],[id_operacion]],tblEjecucion[id_operacion],tblEjecucion[costo_plan_total],0)-tblOrdenes[[#This Row],[costo_servicio]]))</f>
        <v/>
      </c>
      <c r="AK1177" s="11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3">
        <f>IF(tblOrdenes[[#This Row],[fecha_inicio]]="","",TODAY()-tblOrdenes[[#This Row],[fecha_inicio]])</f>
        <v/>
      </c>
      <c r="AB1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1">
        <f>IF(tblOrdenes[[#This Row],[orden]]="","",_xlfn.XLOOKUP(tblOrdenes[[#This Row],[id_operacion]],tblEjecucion[id_operacion],tblEjecucion[precio],0))</f>
        <v/>
      </c>
      <c r="AJ1178" s="11">
        <f>IF(tblOrdenes[[#This Row],[orden]]="","",MAX(0,_xlfn.XLOOKUP(tblOrdenes[[#This Row],[id_operacion]],tblEjecucion[id_operacion],tblEjecucion[costo_plan_total],0)-tblOrdenes[[#This Row],[costo_servicio]]))</f>
        <v/>
      </c>
      <c r="AK1178" s="11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3">
        <f>IF(tblOrdenes[[#This Row],[fecha_inicio]]="","",TODAY()-tblOrdenes[[#This Row],[fecha_inicio]])</f>
        <v/>
      </c>
      <c r="AB1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1">
        <f>IF(tblOrdenes[[#This Row],[orden]]="","",_xlfn.XLOOKUP(tblOrdenes[[#This Row],[id_operacion]],tblEjecucion[id_operacion],tblEjecucion[precio],0))</f>
        <v/>
      </c>
      <c r="AJ1179" s="11">
        <f>IF(tblOrdenes[[#This Row],[orden]]="","",MAX(0,_xlfn.XLOOKUP(tblOrdenes[[#This Row],[id_operacion]],tblEjecucion[id_operacion],tblEjecucion[costo_plan_total],0)-tblOrdenes[[#This Row],[costo_servicio]]))</f>
        <v/>
      </c>
      <c r="AK1179" s="11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3">
        <f>IF(tblOrdenes[[#This Row],[fecha_inicio]]="","",TODAY()-tblOrdenes[[#This Row],[fecha_inicio]])</f>
        <v/>
      </c>
      <c r="AB1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1">
        <f>IF(tblOrdenes[[#This Row],[orden]]="","",_xlfn.XLOOKUP(tblOrdenes[[#This Row],[id_operacion]],tblEjecucion[id_operacion],tblEjecucion[precio],0))</f>
        <v/>
      </c>
      <c r="AJ1180" s="11">
        <f>IF(tblOrdenes[[#This Row],[orden]]="","",MAX(0,_xlfn.XLOOKUP(tblOrdenes[[#This Row],[id_operacion]],tblEjecucion[id_operacion],tblEjecucion[costo_plan_total],0)-tblOrdenes[[#This Row],[costo_servicio]]))</f>
        <v/>
      </c>
      <c r="AK1180" s="11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3">
        <f>IF(tblOrdenes[[#This Row],[fecha_inicio]]="","",TODAY()-tblOrdenes[[#This Row],[fecha_inicio]])</f>
        <v/>
      </c>
      <c r="AB1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1">
        <f>IF(tblOrdenes[[#This Row],[orden]]="","",_xlfn.XLOOKUP(tblOrdenes[[#This Row],[id_operacion]],tblEjecucion[id_operacion],tblEjecucion[precio],0))</f>
        <v/>
      </c>
      <c r="AJ1181" s="11">
        <f>IF(tblOrdenes[[#This Row],[orden]]="","",MAX(0,_xlfn.XLOOKUP(tblOrdenes[[#This Row],[id_operacion]],tblEjecucion[id_operacion],tblEjecucion[costo_plan_total],0)-tblOrdenes[[#This Row],[costo_servicio]]))</f>
        <v/>
      </c>
      <c r="AK1181" s="11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3">
        <f>IF(tblOrdenes[[#This Row],[fecha_inicio]]="","",TODAY()-tblOrdenes[[#This Row],[fecha_inicio]])</f>
        <v/>
      </c>
      <c r="AB1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1">
        <f>IF(tblOrdenes[[#This Row],[orden]]="","",_xlfn.XLOOKUP(tblOrdenes[[#This Row],[id_operacion]],tblEjecucion[id_operacion],tblEjecucion[precio],0))</f>
        <v/>
      </c>
      <c r="AJ1182" s="11">
        <f>IF(tblOrdenes[[#This Row],[orden]]="","",MAX(0,_xlfn.XLOOKUP(tblOrdenes[[#This Row],[id_operacion]],tblEjecucion[id_operacion],tblEjecucion[costo_plan_total],0)-tblOrdenes[[#This Row],[costo_servicio]]))</f>
        <v/>
      </c>
      <c r="AK1182" s="11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3">
        <f>IF(tblOrdenes[[#This Row],[fecha_inicio]]="","",TODAY()-tblOrdenes[[#This Row],[fecha_inicio]])</f>
        <v/>
      </c>
      <c r="AB1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1">
        <f>IF(tblOrdenes[[#This Row],[orden]]="","",_xlfn.XLOOKUP(tblOrdenes[[#This Row],[id_operacion]],tblEjecucion[id_operacion],tblEjecucion[precio],0))</f>
        <v/>
      </c>
      <c r="AJ1183" s="11">
        <f>IF(tblOrdenes[[#This Row],[orden]]="","",MAX(0,_xlfn.XLOOKUP(tblOrdenes[[#This Row],[id_operacion]],tblEjecucion[id_operacion],tblEjecucion[costo_plan_total],0)-tblOrdenes[[#This Row],[costo_servicio]]))</f>
        <v/>
      </c>
      <c r="AK1183" s="11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3">
        <f>IF(tblOrdenes[[#This Row],[fecha_inicio]]="","",TODAY()-tblOrdenes[[#This Row],[fecha_inicio]])</f>
        <v/>
      </c>
      <c r="AB1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1">
        <f>IF(tblOrdenes[[#This Row],[orden]]="","",_xlfn.XLOOKUP(tblOrdenes[[#This Row],[id_operacion]],tblEjecucion[id_operacion],tblEjecucion[precio],0))</f>
        <v/>
      </c>
      <c r="AJ1184" s="11">
        <f>IF(tblOrdenes[[#This Row],[orden]]="","",MAX(0,_xlfn.XLOOKUP(tblOrdenes[[#This Row],[id_operacion]],tblEjecucion[id_operacion],tblEjecucion[costo_plan_total],0)-tblOrdenes[[#This Row],[costo_servicio]]))</f>
        <v/>
      </c>
      <c r="AK1184" s="11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3">
        <f>IF(tblOrdenes[[#This Row],[fecha_inicio]]="","",TODAY()-tblOrdenes[[#This Row],[fecha_inicio]])</f>
        <v/>
      </c>
      <c r="AB1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1">
        <f>IF(tblOrdenes[[#This Row],[orden]]="","",_xlfn.XLOOKUP(tblOrdenes[[#This Row],[id_operacion]],tblEjecucion[id_operacion],tblEjecucion[precio],0))</f>
        <v/>
      </c>
      <c r="AJ1185" s="11">
        <f>IF(tblOrdenes[[#This Row],[orden]]="","",MAX(0,_xlfn.XLOOKUP(tblOrdenes[[#This Row],[id_operacion]],tblEjecucion[id_operacion],tblEjecucion[costo_plan_total],0)-tblOrdenes[[#This Row],[costo_servicio]]))</f>
        <v/>
      </c>
      <c r="AK1185" s="11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3">
        <f>IF(tblOrdenes[[#This Row],[fecha_inicio]]="","",TODAY()-tblOrdenes[[#This Row],[fecha_inicio]])</f>
        <v/>
      </c>
      <c r="AB1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1">
        <f>IF(tblOrdenes[[#This Row],[orden]]="","",_xlfn.XLOOKUP(tblOrdenes[[#This Row],[id_operacion]],tblEjecucion[id_operacion],tblEjecucion[precio],0))</f>
        <v/>
      </c>
      <c r="AJ1186" s="11">
        <f>IF(tblOrdenes[[#This Row],[orden]]="","",MAX(0,_xlfn.XLOOKUP(tblOrdenes[[#This Row],[id_operacion]],tblEjecucion[id_operacion],tblEjecucion[costo_plan_total],0)-tblOrdenes[[#This Row],[costo_servicio]]))</f>
        <v/>
      </c>
      <c r="AK1186" s="11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3">
        <f>IF(tblOrdenes[[#This Row],[fecha_inicio]]="","",TODAY()-tblOrdenes[[#This Row],[fecha_inicio]])</f>
        <v/>
      </c>
      <c r="AB1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1">
        <f>IF(tblOrdenes[[#This Row],[orden]]="","",_xlfn.XLOOKUP(tblOrdenes[[#This Row],[id_operacion]],tblEjecucion[id_operacion],tblEjecucion[precio],0))</f>
        <v/>
      </c>
      <c r="AJ1187" s="11">
        <f>IF(tblOrdenes[[#This Row],[orden]]="","",MAX(0,_xlfn.XLOOKUP(tblOrdenes[[#This Row],[id_operacion]],tblEjecucion[id_operacion],tblEjecucion[costo_plan_total],0)-tblOrdenes[[#This Row],[costo_servicio]]))</f>
        <v/>
      </c>
      <c r="AK1187" s="11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3">
        <f>IF(tblOrdenes[[#This Row],[fecha_inicio]]="","",TODAY()-tblOrdenes[[#This Row],[fecha_inicio]])</f>
        <v/>
      </c>
      <c r="AB1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1">
        <f>IF(tblOrdenes[[#This Row],[orden]]="","",_xlfn.XLOOKUP(tblOrdenes[[#This Row],[id_operacion]],tblEjecucion[id_operacion],tblEjecucion[precio],0))</f>
        <v/>
      </c>
      <c r="AJ1188" s="11">
        <f>IF(tblOrdenes[[#This Row],[orden]]="","",MAX(0,_xlfn.XLOOKUP(tblOrdenes[[#This Row],[id_operacion]],tblEjecucion[id_operacion],tblEjecucion[costo_plan_total],0)-tblOrdenes[[#This Row],[costo_servicio]]))</f>
        <v/>
      </c>
      <c r="AK1188" s="11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3">
        <f>IF(tblOrdenes[[#This Row],[fecha_inicio]]="","",TODAY()-tblOrdenes[[#This Row],[fecha_inicio]])</f>
        <v/>
      </c>
      <c r="AB1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1">
        <f>IF(tblOrdenes[[#This Row],[orden]]="","",_xlfn.XLOOKUP(tblOrdenes[[#This Row],[id_operacion]],tblEjecucion[id_operacion],tblEjecucion[precio],0))</f>
        <v/>
      </c>
      <c r="AJ1189" s="11">
        <f>IF(tblOrdenes[[#This Row],[orden]]="","",MAX(0,_xlfn.XLOOKUP(tblOrdenes[[#This Row],[id_operacion]],tblEjecucion[id_operacion],tblEjecucion[costo_plan_total],0)-tblOrdenes[[#This Row],[costo_servicio]]))</f>
        <v/>
      </c>
      <c r="AK1189" s="11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3">
        <f>IF(tblOrdenes[[#This Row],[fecha_inicio]]="","",TODAY()-tblOrdenes[[#This Row],[fecha_inicio]])</f>
        <v/>
      </c>
      <c r="AB1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1">
        <f>IF(tblOrdenes[[#This Row],[orden]]="","",_xlfn.XLOOKUP(tblOrdenes[[#This Row],[id_operacion]],tblEjecucion[id_operacion],tblEjecucion[precio],0))</f>
        <v/>
      </c>
      <c r="AJ1190" s="11">
        <f>IF(tblOrdenes[[#This Row],[orden]]="","",MAX(0,_xlfn.XLOOKUP(tblOrdenes[[#This Row],[id_operacion]],tblEjecucion[id_operacion],tblEjecucion[costo_plan_total],0)-tblOrdenes[[#This Row],[costo_servicio]]))</f>
        <v/>
      </c>
      <c r="AK1190" s="11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3">
        <f>IF(tblOrdenes[[#This Row],[fecha_inicio]]="","",TODAY()-tblOrdenes[[#This Row],[fecha_inicio]])</f>
        <v/>
      </c>
      <c r="AB1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1">
        <f>IF(tblOrdenes[[#This Row],[orden]]="","",_xlfn.XLOOKUP(tblOrdenes[[#This Row],[id_operacion]],tblEjecucion[id_operacion],tblEjecucion[precio],0))</f>
        <v/>
      </c>
      <c r="AJ1191" s="11">
        <f>IF(tblOrdenes[[#This Row],[orden]]="","",MAX(0,_xlfn.XLOOKUP(tblOrdenes[[#This Row],[id_operacion]],tblEjecucion[id_operacion],tblEjecucion[costo_plan_total],0)-tblOrdenes[[#This Row],[costo_servicio]]))</f>
        <v/>
      </c>
      <c r="AK1191" s="11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3">
        <f>IF(tblOrdenes[[#This Row],[fecha_inicio]]="","",TODAY()-tblOrdenes[[#This Row],[fecha_inicio]])</f>
        <v/>
      </c>
      <c r="AB1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1">
        <f>IF(tblOrdenes[[#This Row],[orden]]="","",_xlfn.XLOOKUP(tblOrdenes[[#This Row],[id_operacion]],tblEjecucion[id_operacion],tblEjecucion[precio],0))</f>
        <v/>
      </c>
      <c r="AJ1192" s="11">
        <f>IF(tblOrdenes[[#This Row],[orden]]="","",MAX(0,_xlfn.XLOOKUP(tblOrdenes[[#This Row],[id_operacion]],tblEjecucion[id_operacion],tblEjecucion[costo_plan_total],0)-tblOrdenes[[#This Row],[costo_servicio]]))</f>
        <v/>
      </c>
      <c r="AK1192" s="11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3">
        <f>IF(tblOrdenes[[#This Row],[fecha_inicio]]="","",TODAY()-tblOrdenes[[#This Row],[fecha_inicio]])</f>
        <v/>
      </c>
      <c r="AB1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1">
        <f>IF(tblOrdenes[[#This Row],[orden]]="","",_xlfn.XLOOKUP(tblOrdenes[[#This Row],[id_operacion]],tblEjecucion[id_operacion],tblEjecucion[precio],0))</f>
        <v/>
      </c>
      <c r="AJ1193" s="11">
        <f>IF(tblOrdenes[[#This Row],[orden]]="","",MAX(0,_xlfn.XLOOKUP(tblOrdenes[[#This Row],[id_operacion]],tblEjecucion[id_operacion],tblEjecucion[costo_plan_total],0)-tblOrdenes[[#This Row],[costo_servicio]]))</f>
        <v/>
      </c>
      <c r="AK1193" s="11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3">
        <f>IF(tblOrdenes[[#This Row],[fecha_inicio]]="","",TODAY()-tblOrdenes[[#This Row],[fecha_inicio]])</f>
        <v/>
      </c>
      <c r="AB1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1">
        <f>IF(tblOrdenes[[#This Row],[orden]]="","",_xlfn.XLOOKUP(tblOrdenes[[#This Row],[id_operacion]],tblEjecucion[id_operacion],tblEjecucion[precio],0))</f>
        <v/>
      </c>
      <c r="AJ1194" s="11">
        <f>IF(tblOrdenes[[#This Row],[orden]]="","",MAX(0,_xlfn.XLOOKUP(tblOrdenes[[#This Row],[id_operacion]],tblEjecucion[id_operacion],tblEjecucion[costo_plan_total],0)-tblOrdenes[[#This Row],[costo_servicio]]))</f>
        <v/>
      </c>
      <c r="AK1194" s="11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3">
        <f>IF(tblOrdenes[[#This Row],[fecha_inicio]]="","",TODAY()-tblOrdenes[[#This Row],[fecha_inicio]])</f>
        <v/>
      </c>
      <c r="AB1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1">
        <f>IF(tblOrdenes[[#This Row],[orden]]="","",_xlfn.XLOOKUP(tblOrdenes[[#This Row],[id_operacion]],tblEjecucion[id_operacion],tblEjecucion[precio],0))</f>
        <v/>
      </c>
      <c r="AJ1195" s="11">
        <f>IF(tblOrdenes[[#This Row],[orden]]="","",MAX(0,_xlfn.XLOOKUP(tblOrdenes[[#This Row],[id_operacion]],tblEjecucion[id_operacion],tblEjecucion[costo_plan_total],0)-tblOrdenes[[#This Row],[costo_servicio]]))</f>
        <v/>
      </c>
      <c r="AK1195" s="11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3">
        <f>IF(tblOrdenes[[#This Row],[fecha_inicio]]="","",TODAY()-tblOrdenes[[#This Row],[fecha_inicio]])</f>
        <v/>
      </c>
      <c r="AB1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1">
        <f>IF(tblOrdenes[[#This Row],[orden]]="","",_xlfn.XLOOKUP(tblOrdenes[[#This Row],[id_operacion]],tblEjecucion[id_operacion],tblEjecucion[precio],0))</f>
        <v/>
      </c>
      <c r="AJ1196" s="11">
        <f>IF(tblOrdenes[[#This Row],[orden]]="","",MAX(0,_xlfn.XLOOKUP(tblOrdenes[[#This Row],[id_operacion]],tblEjecucion[id_operacion],tblEjecucion[costo_plan_total],0)-tblOrdenes[[#This Row],[costo_servicio]]))</f>
        <v/>
      </c>
      <c r="AK1196" s="11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3">
        <f>IF(tblOrdenes[[#This Row],[fecha_inicio]]="","",TODAY()-tblOrdenes[[#This Row],[fecha_inicio]])</f>
        <v/>
      </c>
      <c r="AB1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1">
        <f>IF(tblOrdenes[[#This Row],[orden]]="","",_xlfn.XLOOKUP(tblOrdenes[[#This Row],[id_operacion]],tblEjecucion[id_operacion],tblEjecucion[precio],0))</f>
        <v/>
      </c>
      <c r="AJ1197" s="11">
        <f>IF(tblOrdenes[[#This Row],[orden]]="","",MAX(0,_xlfn.XLOOKUP(tblOrdenes[[#This Row],[id_operacion]],tblEjecucion[id_operacion],tblEjecucion[costo_plan_total],0)-tblOrdenes[[#This Row],[costo_servicio]]))</f>
        <v/>
      </c>
      <c r="AK1197" s="11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3">
        <f>IF(tblOrdenes[[#This Row],[fecha_inicio]]="","",TODAY()-tblOrdenes[[#This Row],[fecha_inicio]])</f>
        <v/>
      </c>
      <c r="AB1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1">
        <f>IF(tblOrdenes[[#This Row],[orden]]="","",_xlfn.XLOOKUP(tblOrdenes[[#This Row],[id_operacion]],tblEjecucion[id_operacion],tblEjecucion[precio],0))</f>
        <v/>
      </c>
      <c r="AJ1198" s="11">
        <f>IF(tblOrdenes[[#This Row],[orden]]="","",MAX(0,_xlfn.XLOOKUP(tblOrdenes[[#This Row],[id_operacion]],tblEjecucion[id_operacion],tblEjecucion[costo_plan_total],0)-tblOrdenes[[#This Row],[costo_servicio]]))</f>
        <v/>
      </c>
      <c r="AK1198" s="11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3">
        <f>IF(tblOrdenes[[#This Row],[fecha_inicio]]="","",TODAY()-tblOrdenes[[#This Row],[fecha_inicio]])</f>
        <v/>
      </c>
      <c r="AB1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1">
        <f>IF(tblOrdenes[[#This Row],[orden]]="","",_xlfn.XLOOKUP(tblOrdenes[[#This Row],[id_operacion]],tblEjecucion[id_operacion],tblEjecucion[precio],0))</f>
        <v/>
      </c>
      <c r="AJ1199" s="11">
        <f>IF(tblOrdenes[[#This Row],[orden]]="","",MAX(0,_xlfn.XLOOKUP(tblOrdenes[[#This Row],[id_operacion]],tblEjecucion[id_operacion],tblEjecucion[costo_plan_total],0)-tblOrdenes[[#This Row],[costo_servicio]]))</f>
        <v/>
      </c>
      <c r="AK1199" s="11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3">
        <f>IF(tblOrdenes[[#This Row],[fecha_inicio]]="","",TODAY()-tblOrdenes[[#This Row],[fecha_inicio]])</f>
        <v/>
      </c>
      <c r="AB1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1">
        <f>IF(tblOrdenes[[#This Row],[orden]]="","",_xlfn.XLOOKUP(tblOrdenes[[#This Row],[id_operacion]],tblEjecucion[id_operacion],tblEjecucion[precio],0))</f>
        <v/>
      </c>
      <c r="AJ1200" s="11">
        <f>IF(tblOrdenes[[#This Row],[orden]]="","",MAX(0,_xlfn.XLOOKUP(tblOrdenes[[#This Row],[id_operacion]],tblEjecucion[id_operacion],tblEjecucion[costo_plan_total],0)-tblOrdenes[[#This Row],[costo_servicio]]))</f>
        <v/>
      </c>
      <c r="AK1200" s="11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3">
        <f>IF(tblOrdenes[[#This Row],[fecha_inicio]]="","",TODAY()-tblOrdenes[[#This Row],[fecha_inicio]])</f>
        <v/>
      </c>
      <c r="AB1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1">
        <f>IF(tblOrdenes[[#This Row],[orden]]="","",_xlfn.XLOOKUP(tblOrdenes[[#This Row],[id_operacion]],tblEjecucion[id_operacion],tblEjecucion[precio],0))</f>
        <v/>
      </c>
      <c r="AJ1201" s="11">
        <f>IF(tblOrdenes[[#This Row],[orden]]="","",MAX(0,_xlfn.XLOOKUP(tblOrdenes[[#This Row],[id_operacion]],tblEjecucion[id_operacion],tblEjecucion[costo_plan_total],0)-tblOrdenes[[#This Row],[costo_servicio]]))</f>
        <v/>
      </c>
      <c r="AK1201" s="11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3">
        <f>IF(tblOrdenes[[#This Row],[fecha_inicio]]="","",TODAY()-tblOrdenes[[#This Row],[fecha_inicio]])</f>
        <v/>
      </c>
      <c r="AB1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1">
        <f>IF(tblOrdenes[[#This Row],[orden]]="","",_xlfn.XLOOKUP(tblOrdenes[[#This Row],[id_operacion]],tblEjecucion[id_operacion],tblEjecucion[precio],0))</f>
        <v/>
      </c>
      <c r="AJ1202" s="11">
        <f>IF(tblOrdenes[[#This Row],[orden]]="","",MAX(0,_xlfn.XLOOKUP(tblOrdenes[[#This Row],[id_operacion]],tblEjecucion[id_operacion],tblEjecucion[costo_plan_total],0)-tblOrdenes[[#This Row],[costo_servicio]]))</f>
        <v/>
      </c>
      <c r="AK1202" s="11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3">
        <f>IF(tblOrdenes[[#This Row],[fecha_inicio]]="","",TODAY()-tblOrdenes[[#This Row],[fecha_inicio]])</f>
        <v/>
      </c>
      <c r="AB1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1">
        <f>IF(tblOrdenes[[#This Row],[orden]]="","",_xlfn.XLOOKUP(tblOrdenes[[#This Row],[id_operacion]],tblEjecucion[id_operacion],tblEjecucion[precio],0))</f>
        <v/>
      </c>
      <c r="AJ1203" s="11">
        <f>IF(tblOrdenes[[#This Row],[orden]]="","",MAX(0,_xlfn.XLOOKUP(tblOrdenes[[#This Row],[id_operacion]],tblEjecucion[id_operacion],tblEjecucion[costo_plan_total],0)-tblOrdenes[[#This Row],[costo_servicio]]))</f>
        <v/>
      </c>
      <c r="AK1203" s="11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 de turnos.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Coordinador A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Coordinador A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Coordinador A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Coordinador A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Coordinador A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Coordinador A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Coordinador A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Coordinador A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Coordinador A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Coordinador A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O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8" customWidth="1" min="9" max="9"/>
    <col width="15" customWidth="1" min="10" max="10"/>
    <col width="12" customWidth="1" min="11" max="11"/>
    <col width="16" customWidth="1" min="12" max="12"/>
    <col width="26" customWidth="1" min="13" max="13"/>
    <col width="11" customWidth="1" min="14" max="14"/>
    <col width="11" customWidth="1" min="15" max="15"/>
  </cols>
  <sheetData>
    <row r="1">
      <c r="A1" s="4" t="inlineStr">
        <is>
          <t>ASIGNACIONES — el turno se DERIVA de la rotación (6.3): posicion_ciclo por (especialidad, área) y semana. Para una excepción puntual (o VAC/X) escriba en turno_manual y solo esa celda se sobrescribe; REGLA-5 lee el turno efectivo.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turno_manual</t>
        </is>
      </c>
      <c r="I3" s="5" t="inlineStr">
        <is>
          <t>turno</t>
        </is>
      </c>
      <c r="J3" s="5" t="inlineStr">
        <is>
          <t>coordinador</t>
        </is>
      </c>
      <c r="K3" s="5" t="inlineStr">
        <is>
          <t>fecha</t>
        </is>
      </c>
      <c r="L3" s="5" t="inlineStr">
        <is>
          <t>horas_disponibles</t>
        </is>
      </c>
      <c r="M3" s="5" t="inlineStr">
        <is>
          <t>clave</t>
        </is>
      </c>
      <c r="N3" s="5" t="inlineStr">
        <is>
          <t>hora_inicio</t>
        </is>
      </c>
      <c r="O3" s="5" t="inlineStr">
        <is>
          <t>hora_fin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3">
        <f>COUNTIFS(tblTecnicos[rotativo],"SI",tblTecnicos[especialidad],tblAsignaciones[[#This Row],[especialidad]],tblTecnicos[area],tblAsignaciones[[#This Row],[area]])</f>
        <v/>
      </c>
      <c r="G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6" t="n"/>
      <c r="I4" s="3">
        <f>IF(tblAsignaciones[[#This Row],[turno_manual]]&lt;&gt;"",tblAsignaciones[[#This Row],[turno_manual]],IF(LEFT(tblAsignaciones[[#This Row],[posicion_ciclo]],1)="B","B",tblAsignaciones[[#This Row],[posicion_ciclo]]))</f>
        <v/>
      </c>
      <c r="J4" s="3">
        <f>_xlfn.XLOOKUP(tblAsignaciones[[#This Row],[tecnico]],tblTecnicos[nombre],tblTecnicos[coordinador],"")</f>
        <v/>
      </c>
      <c r="K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" s="3">
        <f>tblAsignaciones[[#This Row],[semana]]&amp;"|"&amp;tblAsignaciones[[#This Row],[dia]]&amp;"|"&amp;tblAsignaciones[[#This Row],[tecnico]]</f>
        <v/>
      </c>
      <c r="N4" s="3">
        <f>_xlfn.XLOOKUP(tblAsignaciones[[#This Row],[turno]],tblTurnos[turno],tblTurnos[hora_inicio],"")</f>
        <v/>
      </c>
      <c r="O4" s="3">
        <f>_xlfn.XLOOKUP(tblAsignaciones[[#This Row],[turno]],tblTurnos[turno],tblTurnos[hora_fin],"")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3">
        <f>COUNTIFS(tblTecnicos[rotativo],"SI",tblTecnicos[especialidad],tblAsignaciones[[#This Row],[especialidad]],tblTecnicos[area],tblAsignaciones[[#This Row],[area]])</f>
        <v/>
      </c>
      <c r="G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6" t="n"/>
      <c r="I5" s="3">
        <f>IF(tblAsignaciones[[#This Row],[turno_manual]]&lt;&gt;"",tblAsignaciones[[#This Row],[turno_manual]],IF(LEFT(tblAsignaciones[[#This Row],[posicion_ciclo]],1)="B","B",tblAsignaciones[[#This Row],[posicion_ciclo]]))</f>
        <v/>
      </c>
      <c r="J5" s="3">
        <f>_xlfn.XLOOKUP(tblAsignaciones[[#This Row],[tecnico]],tblTecnicos[nombre],tblTecnicos[coordinador],"")</f>
        <v/>
      </c>
      <c r="K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" s="3">
        <f>tblAsignaciones[[#This Row],[semana]]&amp;"|"&amp;tblAsignaciones[[#This Row],[dia]]&amp;"|"&amp;tblAsignaciones[[#This Row],[tecnico]]</f>
        <v/>
      </c>
      <c r="N5" s="3">
        <f>_xlfn.XLOOKUP(tblAsignaciones[[#This Row],[turno]],tblTurnos[turno],tblTurnos[hora_inicio],"")</f>
        <v/>
      </c>
      <c r="O5" s="3">
        <f>_xlfn.XLOOKUP(tblAsignaciones[[#This Row],[turno]],tblTurnos[turno],tblTurnos[hora_fin],"")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3">
        <f>COUNTIFS(tblTecnicos[rotativo],"SI",tblTecnicos[especialidad],tblAsignaciones[[#This Row],[especialidad]],tblTecnicos[area],tblAsignaciones[[#This Row],[area]])</f>
        <v/>
      </c>
      <c r="G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6" t="n"/>
      <c r="I6" s="3">
        <f>IF(tblAsignaciones[[#This Row],[turno_manual]]&lt;&gt;"",tblAsignaciones[[#This Row],[turno_manual]],IF(LEFT(tblAsignaciones[[#This Row],[posicion_ciclo]],1)="B","B",tblAsignaciones[[#This Row],[posicion_ciclo]]))</f>
        <v/>
      </c>
      <c r="J6" s="3">
        <f>_xlfn.XLOOKUP(tblAsignaciones[[#This Row],[tecnico]],tblTecnicos[nombre],tblTecnicos[coordinador],"")</f>
        <v/>
      </c>
      <c r="K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" s="3">
        <f>tblAsignaciones[[#This Row],[semana]]&amp;"|"&amp;tblAsignaciones[[#This Row],[dia]]&amp;"|"&amp;tblAsignaciones[[#This Row],[tecnico]]</f>
        <v/>
      </c>
      <c r="N6" s="3">
        <f>_xlfn.XLOOKUP(tblAsignaciones[[#This Row],[turno]],tblTurnos[turno],tblTurnos[hora_inicio],"")</f>
        <v/>
      </c>
      <c r="O6" s="3">
        <f>_xlfn.XLOOKUP(tblAsignaciones[[#This Row],[turno]],tblTurnos[turno],tblTurnos[hora_fin],"")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3">
        <f>COUNTIFS(tblTecnicos[rotativo],"SI",tblTecnicos[especialidad],tblAsignaciones[[#This Row],[especialidad]],tblTecnicos[area],tblAsignaciones[[#This Row],[area]])</f>
        <v/>
      </c>
      <c r="G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6" t="n"/>
      <c r="I7" s="3">
        <f>IF(tblAsignaciones[[#This Row],[turno_manual]]&lt;&gt;"",tblAsignaciones[[#This Row],[turno_manual]],IF(LEFT(tblAsignaciones[[#This Row],[posicion_ciclo]],1)="B","B",tblAsignaciones[[#This Row],[posicion_ciclo]]))</f>
        <v/>
      </c>
      <c r="J7" s="3">
        <f>_xlfn.XLOOKUP(tblAsignaciones[[#This Row],[tecnico]],tblTecnicos[nombre],tblTecnicos[coordinador],"")</f>
        <v/>
      </c>
      <c r="K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" s="3">
        <f>tblAsignaciones[[#This Row],[semana]]&amp;"|"&amp;tblAsignaciones[[#This Row],[dia]]&amp;"|"&amp;tblAsignaciones[[#This Row],[tecnico]]</f>
        <v/>
      </c>
      <c r="N7" s="3">
        <f>_xlfn.XLOOKUP(tblAsignaciones[[#This Row],[turno]],tblTurnos[turno],tblTurnos[hora_inicio],"")</f>
        <v/>
      </c>
      <c r="O7" s="3">
        <f>_xlfn.XLOOKUP(tblAsignaciones[[#This Row],[turno]],tblTurnos[turno],tblTurnos[hora_fin],"")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3">
        <f>COUNTIFS(tblTecnicos[rotativo],"SI",tblTecnicos[especialidad],tblAsignaciones[[#This Row],[especialidad]],tblTecnicos[area],tblAsignaciones[[#This Row],[area]])</f>
        <v/>
      </c>
      <c r="G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6" t="n"/>
      <c r="I8" s="3">
        <f>IF(tblAsignaciones[[#This Row],[turno_manual]]&lt;&gt;"",tblAsignaciones[[#This Row],[turno_manual]],IF(LEFT(tblAsignaciones[[#This Row],[posicion_ciclo]],1)="B","B",tblAsignaciones[[#This Row],[posicion_ciclo]]))</f>
        <v/>
      </c>
      <c r="J8" s="3">
        <f>_xlfn.XLOOKUP(tblAsignaciones[[#This Row],[tecnico]],tblTecnicos[nombre],tblTecnicos[coordinador],"")</f>
        <v/>
      </c>
      <c r="K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" s="3">
        <f>tblAsignaciones[[#This Row],[semana]]&amp;"|"&amp;tblAsignaciones[[#This Row],[dia]]&amp;"|"&amp;tblAsignaciones[[#This Row],[tecnico]]</f>
        <v/>
      </c>
      <c r="N8" s="3">
        <f>_xlfn.XLOOKUP(tblAsignaciones[[#This Row],[turno]],tblTurnos[turno],tblTurnos[hora_inicio],"")</f>
        <v/>
      </c>
      <c r="O8" s="3">
        <f>_xlfn.XLOOKUP(tblAsignaciones[[#This Row],[turno]],tblTurnos[turno],tblTurnos[hora_fin],"")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3">
        <f>COUNTIFS(tblTecnicos[rotativo],"SI",tblTecnicos[especialidad],tblAsignaciones[[#This Row],[especialidad]],tblTecnicos[area],tblAsignaciones[[#This Row],[area]])</f>
        <v/>
      </c>
      <c r="G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6" t="n"/>
      <c r="I9" s="3">
        <f>IF(tblAsignaciones[[#This Row],[turno_manual]]&lt;&gt;"",tblAsignaciones[[#This Row],[turno_manual]],IF(LEFT(tblAsignaciones[[#This Row],[posicion_ciclo]],1)="B","B",tblAsignaciones[[#This Row],[posicion_ciclo]]))</f>
        <v/>
      </c>
      <c r="J9" s="3">
        <f>_xlfn.XLOOKUP(tblAsignaciones[[#This Row],[tecnico]],tblTecnicos[nombre],tblTecnicos[coordinador],"")</f>
        <v/>
      </c>
      <c r="K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" s="3">
        <f>tblAsignaciones[[#This Row],[semana]]&amp;"|"&amp;tblAsignaciones[[#This Row],[dia]]&amp;"|"&amp;tblAsignaciones[[#This Row],[tecnico]]</f>
        <v/>
      </c>
      <c r="N9" s="3">
        <f>_xlfn.XLOOKUP(tblAsignaciones[[#This Row],[turno]],tblTurnos[turno],tblTurnos[hora_inicio],"")</f>
        <v/>
      </c>
      <c r="O9" s="3">
        <f>_xlfn.XLOOKUP(tblAsignaciones[[#This Row],[turno]],tblTurnos[turno],tblTurnos[hora_fin],"")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3">
        <f>COUNTIFS(tblTecnicos[rotativo],"SI",tblTecnicos[especialidad],tblAsignaciones[[#This Row],[especialidad]],tblTecnicos[area],tblAsignaciones[[#This Row],[area]])</f>
        <v/>
      </c>
      <c r="G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6" t="n"/>
      <c r="I10" s="3">
        <f>IF(tblAsignaciones[[#This Row],[turno_manual]]&lt;&gt;"",tblAsignaciones[[#This Row],[turno_manual]],IF(LEFT(tblAsignaciones[[#This Row],[posicion_ciclo]],1)="B","B",tblAsignaciones[[#This Row],[posicion_ciclo]]))</f>
        <v/>
      </c>
      <c r="J10" s="3">
        <f>_xlfn.XLOOKUP(tblAsignaciones[[#This Row],[tecnico]],tblTecnicos[nombre],tblTecnicos[coordinador],"")</f>
        <v/>
      </c>
      <c r="K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" s="3">
        <f>tblAsignaciones[[#This Row],[semana]]&amp;"|"&amp;tblAsignaciones[[#This Row],[dia]]&amp;"|"&amp;tblAsignaciones[[#This Row],[tecnico]]</f>
        <v/>
      </c>
      <c r="N10" s="3">
        <f>_xlfn.XLOOKUP(tblAsignaciones[[#This Row],[turno]],tblTurnos[turno],tblTurnos[hora_inicio],"")</f>
        <v/>
      </c>
      <c r="O10" s="3">
        <f>_xlfn.XLOOKUP(tblAsignaciones[[#This Row],[turno]],tblTurnos[turno],tblTurnos[hora_fin],"")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3">
        <f>COUNTIFS(tblTecnicos[rotativo],"SI",tblTecnicos[especialidad],tblAsignaciones[[#This Row],[especialidad]],tblTecnicos[area],tblAsignaciones[[#This Row],[area]])</f>
        <v/>
      </c>
      <c r="G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6" t="n"/>
      <c r="I11" s="3">
        <f>IF(tblAsignaciones[[#This Row],[turno_manual]]&lt;&gt;"",tblAsignaciones[[#This Row],[turno_manual]],IF(LEFT(tblAsignaciones[[#This Row],[posicion_ciclo]],1)="B","B",tblAsignaciones[[#This Row],[posicion_ciclo]]))</f>
        <v/>
      </c>
      <c r="J11" s="3">
        <f>_xlfn.XLOOKUP(tblAsignaciones[[#This Row],[tecnico]],tblTecnicos[nombre],tblTecnicos[coordinador],"")</f>
        <v/>
      </c>
      <c r="K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" s="3">
        <f>tblAsignaciones[[#This Row],[semana]]&amp;"|"&amp;tblAsignaciones[[#This Row],[dia]]&amp;"|"&amp;tblAsignaciones[[#This Row],[tecnico]]</f>
        <v/>
      </c>
      <c r="N11" s="3">
        <f>_xlfn.XLOOKUP(tblAsignaciones[[#This Row],[turno]],tblTurnos[turno],tblTurnos[hora_inicio],"")</f>
        <v/>
      </c>
      <c r="O11" s="3">
        <f>_xlfn.XLOOKUP(tblAsignaciones[[#This Row],[turno]],tblTurnos[turno],tblTurnos[hora_fin],"")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3">
        <f>COUNTIFS(tblTecnicos[rotativo],"SI",tblTecnicos[especialidad],tblAsignaciones[[#This Row],[especialidad]],tblTecnicos[area],tblAsignaciones[[#This Row],[area]])</f>
        <v/>
      </c>
      <c r="G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6" t="n"/>
      <c r="I12" s="3">
        <f>IF(tblAsignaciones[[#This Row],[turno_manual]]&lt;&gt;"",tblAsignaciones[[#This Row],[turno_manual]],IF(LEFT(tblAsignaciones[[#This Row],[posicion_ciclo]],1)="B","B",tblAsignaciones[[#This Row],[posicion_ciclo]]))</f>
        <v/>
      </c>
      <c r="J12" s="3">
        <f>_xlfn.XLOOKUP(tblAsignaciones[[#This Row],[tecnico]],tblTecnicos[nombre],tblTecnicos[coordinador],"")</f>
        <v/>
      </c>
      <c r="K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" s="3">
        <f>tblAsignaciones[[#This Row],[semana]]&amp;"|"&amp;tblAsignaciones[[#This Row],[dia]]&amp;"|"&amp;tblAsignaciones[[#This Row],[tecnico]]</f>
        <v/>
      </c>
      <c r="N12" s="3">
        <f>_xlfn.XLOOKUP(tblAsignaciones[[#This Row],[turno]],tblTurnos[turno],tblTurnos[hora_inicio],"")</f>
        <v/>
      </c>
      <c r="O12" s="3">
        <f>_xlfn.XLOOKUP(tblAsignaciones[[#This Row],[turno]],tblTurnos[turno],tblTurnos[hora_fin],"")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3">
        <f>COUNTIFS(tblTecnicos[rotativo],"SI",tblTecnicos[especialidad],tblAsignaciones[[#This Row],[especialidad]],tblTecnicos[area],tblAsignaciones[[#This Row],[area]])</f>
        <v/>
      </c>
      <c r="G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6" t="n"/>
      <c r="I13" s="3">
        <f>IF(tblAsignaciones[[#This Row],[turno_manual]]&lt;&gt;"",tblAsignaciones[[#This Row],[turno_manual]],IF(LEFT(tblAsignaciones[[#This Row],[posicion_ciclo]],1)="B","B",tblAsignaciones[[#This Row],[posicion_ciclo]]))</f>
        <v/>
      </c>
      <c r="J13" s="3">
        <f>_xlfn.XLOOKUP(tblAsignaciones[[#This Row],[tecnico]],tblTecnicos[nombre],tblTecnicos[coordinador],"")</f>
        <v/>
      </c>
      <c r="K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" s="3">
        <f>tblAsignaciones[[#This Row],[semana]]&amp;"|"&amp;tblAsignaciones[[#This Row],[dia]]&amp;"|"&amp;tblAsignaciones[[#This Row],[tecnico]]</f>
        <v/>
      </c>
      <c r="N13" s="3">
        <f>_xlfn.XLOOKUP(tblAsignaciones[[#This Row],[turno]],tblTurnos[turno],tblTurnos[hora_inicio],"")</f>
        <v/>
      </c>
      <c r="O13" s="3">
        <f>_xlfn.XLOOKUP(tblAsignaciones[[#This Row],[turno]],tblTurnos[turno],tblTurnos[hora_fin],"")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3">
        <f>COUNTIFS(tblTecnicos[rotativo],"SI",tblTecnicos[especialidad],tblAsignaciones[[#This Row],[especialidad]],tblTecnicos[area],tblAsignaciones[[#This Row],[area]])</f>
        <v/>
      </c>
      <c r="G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6" t="n"/>
      <c r="I14" s="3">
        <f>IF(tblAsignaciones[[#This Row],[turno_manual]]&lt;&gt;"",tblAsignaciones[[#This Row],[turno_manual]],IF(LEFT(tblAsignaciones[[#This Row],[posicion_ciclo]],1)="B","B",tblAsignaciones[[#This Row],[posicion_ciclo]]))</f>
        <v/>
      </c>
      <c r="J14" s="3">
        <f>_xlfn.XLOOKUP(tblAsignaciones[[#This Row],[tecnico]],tblTecnicos[nombre],tblTecnicos[coordinador],"")</f>
        <v/>
      </c>
      <c r="K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" s="3">
        <f>tblAsignaciones[[#This Row],[semana]]&amp;"|"&amp;tblAsignaciones[[#This Row],[dia]]&amp;"|"&amp;tblAsignaciones[[#This Row],[tecnico]]</f>
        <v/>
      </c>
      <c r="N14" s="3">
        <f>_xlfn.XLOOKUP(tblAsignaciones[[#This Row],[turno]],tblTurnos[turno],tblTurnos[hora_inicio],"")</f>
        <v/>
      </c>
      <c r="O14" s="3">
        <f>_xlfn.XLOOKUP(tblAsignaciones[[#This Row],[turno]],tblTurnos[turno],tblTurnos[hora_fin],"")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3">
        <f>COUNTIFS(tblTecnicos[rotativo],"SI",tblTecnicos[especialidad],tblAsignaciones[[#This Row],[especialidad]],tblTecnicos[area],tblAsignaciones[[#This Row],[area]])</f>
        <v/>
      </c>
      <c r="G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6" t="n"/>
      <c r="I15" s="3">
        <f>IF(tblAsignaciones[[#This Row],[turno_manual]]&lt;&gt;"",tblAsignaciones[[#This Row],[turno_manual]],IF(LEFT(tblAsignaciones[[#This Row],[posicion_ciclo]],1)="B","B",tblAsignaciones[[#This Row],[posicion_ciclo]]))</f>
        <v/>
      </c>
      <c r="J15" s="3">
        <f>_xlfn.XLOOKUP(tblAsignaciones[[#This Row],[tecnico]],tblTecnicos[nombre],tblTecnicos[coordinador],"")</f>
        <v/>
      </c>
      <c r="K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" s="3">
        <f>tblAsignaciones[[#This Row],[semana]]&amp;"|"&amp;tblAsignaciones[[#This Row],[dia]]&amp;"|"&amp;tblAsignaciones[[#This Row],[tecnico]]</f>
        <v/>
      </c>
      <c r="N15" s="3">
        <f>_xlfn.XLOOKUP(tblAsignaciones[[#This Row],[turno]],tblTurnos[turno],tblTurnos[hora_inicio],"")</f>
        <v/>
      </c>
      <c r="O15" s="3">
        <f>_xlfn.XLOOKUP(tblAsignaciones[[#This Row],[turno]],tblTurnos[turno],tblTurnos[hora_fin],"")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3">
        <f>COUNTIFS(tblTecnicos[rotativo],"SI",tblTecnicos[especialidad],tblAsignaciones[[#This Row],[especialidad]],tblTecnicos[area],tblAsignaciones[[#This Row],[area]])</f>
        <v/>
      </c>
      <c r="G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6" t="n"/>
      <c r="I16" s="3">
        <f>IF(tblAsignaciones[[#This Row],[turno_manual]]&lt;&gt;"",tblAsignaciones[[#This Row],[turno_manual]],IF(LEFT(tblAsignaciones[[#This Row],[posicion_ciclo]],1)="B","B",tblAsignaciones[[#This Row],[posicion_ciclo]]))</f>
        <v/>
      </c>
      <c r="J16" s="3">
        <f>_xlfn.XLOOKUP(tblAsignaciones[[#This Row],[tecnico]],tblTecnicos[nombre],tblTecnicos[coordinador],"")</f>
        <v/>
      </c>
      <c r="K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" s="3">
        <f>tblAsignaciones[[#This Row],[semana]]&amp;"|"&amp;tblAsignaciones[[#This Row],[dia]]&amp;"|"&amp;tblAsignaciones[[#This Row],[tecnico]]</f>
        <v/>
      </c>
      <c r="N16" s="3">
        <f>_xlfn.XLOOKUP(tblAsignaciones[[#This Row],[turno]],tblTurnos[turno],tblTurnos[hora_inicio],"")</f>
        <v/>
      </c>
      <c r="O16" s="3">
        <f>_xlfn.XLOOKUP(tblAsignaciones[[#This Row],[turno]],tblTurnos[turno],tblTurnos[hora_fin],"")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3">
        <f>COUNTIFS(tblTecnicos[rotativo],"SI",tblTecnicos[especialidad],tblAsignaciones[[#This Row],[especialidad]],tblTecnicos[area],tblAsignaciones[[#This Row],[area]])</f>
        <v/>
      </c>
      <c r="G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6" t="n"/>
      <c r="I17" s="3">
        <f>IF(tblAsignaciones[[#This Row],[turno_manual]]&lt;&gt;"",tblAsignaciones[[#This Row],[turno_manual]],IF(LEFT(tblAsignaciones[[#This Row],[posicion_ciclo]],1)="B","B",tblAsignaciones[[#This Row],[posicion_ciclo]]))</f>
        <v/>
      </c>
      <c r="J17" s="3">
        <f>_xlfn.XLOOKUP(tblAsignaciones[[#This Row],[tecnico]],tblTecnicos[nombre],tblTecnicos[coordinador],"")</f>
        <v/>
      </c>
      <c r="K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" s="3">
        <f>tblAsignaciones[[#This Row],[semana]]&amp;"|"&amp;tblAsignaciones[[#This Row],[dia]]&amp;"|"&amp;tblAsignaciones[[#This Row],[tecnico]]</f>
        <v/>
      </c>
      <c r="N17" s="3">
        <f>_xlfn.XLOOKUP(tblAsignaciones[[#This Row],[turno]],tblTurnos[turno],tblTurnos[hora_inicio],"")</f>
        <v/>
      </c>
      <c r="O17" s="3">
        <f>_xlfn.XLOOKUP(tblAsignaciones[[#This Row],[turno]],tblTurnos[turno],tblTurnos[hora_fin],"")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3">
        <f>COUNTIFS(tblTecnicos[rotativo],"SI",tblTecnicos[especialidad],tblAsignaciones[[#This Row],[especialidad]],tblTecnicos[area],tblAsignaciones[[#This Row],[area]])</f>
        <v/>
      </c>
      <c r="G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6" t="n"/>
      <c r="I18" s="3">
        <f>IF(tblAsignaciones[[#This Row],[turno_manual]]&lt;&gt;"",tblAsignaciones[[#This Row],[turno_manual]],IF(LEFT(tblAsignaciones[[#This Row],[posicion_ciclo]],1)="B","B",tblAsignaciones[[#This Row],[posicion_ciclo]]))</f>
        <v/>
      </c>
      <c r="J18" s="3">
        <f>_xlfn.XLOOKUP(tblAsignaciones[[#This Row],[tecnico]],tblTecnicos[nombre],tblTecnicos[coordinador],"")</f>
        <v/>
      </c>
      <c r="K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" s="3">
        <f>tblAsignaciones[[#This Row],[semana]]&amp;"|"&amp;tblAsignaciones[[#This Row],[dia]]&amp;"|"&amp;tblAsignaciones[[#This Row],[tecnico]]</f>
        <v/>
      </c>
      <c r="N18" s="3">
        <f>_xlfn.XLOOKUP(tblAsignaciones[[#This Row],[turno]],tblTurnos[turno],tblTurnos[hora_inicio],"")</f>
        <v/>
      </c>
      <c r="O18" s="3">
        <f>_xlfn.XLOOKUP(tblAsignaciones[[#This Row],[turno]],tblTurnos[turno],tblTurnos[hora_fin],"")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3">
        <f>COUNTIFS(tblTecnicos[rotativo],"SI",tblTecnicos[especialidad],tblAsignaciones[[#This Row],[especialidad]],tblTecnicos[area],tblAsignaciones[[#This Row],[area]])</f>
        <v/>
      </c>
      <c r="G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6" t="n"/>
      <c r="I19" s="3">
        <f>IF(tblAsignaciones[[#This Row],[turno_manual]]&lt;&gt;"",tblAsignaciones[[#This Row],[turno_manual]],IF(LEFT(tblAsignaciones[[#This Row],[posicion_ciclo]],1)="B","B",tblAsignaciones[[#This Row],[posicion_ciclo]]))</f>
        <v/>
      </c>
      <c r="J19" s="3">
        <f>_xlfn.XLOOKUP(tblAsignaciones[[#This Row],[tecnico]],tblTecnicos[nombre],tblTecnicos[coordinador],"")</f>
        <v/>
      </c>
      <c r="K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" s="3">
        <f>tblAsignaciones[[#This Row],[semana]]&amp;"|"&amp;tblAsignaciones[[#This Row],[dia]]&amp;"|"&amp;tblAsignaciones[[#This Row],[tecnico]]</f>
        <v/>
      </c>
      <c r="N19" s="3">
        <f>_xlfn.XLOOKUP(tblAsignaciones[[#This Row],[turno]],tblTurnos[turno],tblTurnos[hora_inicio],"")</f>
        <v/>
      </c>
      <c r="O19" s="3">
        <f>_xlfn.XLOOKUP(tblAsignaciones[[#This Row],[turno]],tblTurnos[turno],tblTurnos[hora_fin],"")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3">
        <f>COUNTIFS(tblTecnicos[rotativo],"SI",tblTecnicos[especialidad],tblAsignaciones[[#This Row],[especialidad]],tblTecnicos[area],tblAsignaciones[[#This Row],[area]])</f>
        <v/>
      </c>
      <c r="G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6" t="n"/>
      <c r="I20" s="3">
        <f>IF(tblAsignaciones[[#This Row],[turno_manual]]&lt;&gt;"",tblAsignaciones[[#This Row],[turno_manual]],IF(LEFT(tblAsignaciones[[#This Row],[posicion_ciclo]],1)="B","B",tblAsignaciones[[#This Row],[posicion_ciclo]]))</f>
        <v/>
      </c>
      <c r="J20" s="3">
        <f>_xlfn.XLOOKUP(tblAsignaciones[[#This Row],[tecnico]],tblTecnicos[nombre],tblTecnicos[coordinador],"")</f>
        <v/>
      </c>
      <c r="K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" s="3">
        <f>tblAsignaciones[[#This Row],[semana]]&amp;"|"&amp;tblAsignaciones[[#This Row],[dia]]&amp;"|"&amp;tblAsignaciones[[#This Row],[tecnico]]</f>
        <v/>
      </c>
      <c r="N20" s="3">
        <f>_xlfn.XLOOKUP(tblAsignaciones[[#This Row],[turno]],tblTurnos[turno],tblTurnos[hora_inicio],"")</f>
        <v/>
      </c>
      <c r="O20" s="3">
        <f>_xlfn.XLOOKUP(tblAsignaciones[[#This Row],[turno]],tblTurnos[turno],tblTurnos[hora_fin],"")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3">
        <f>COUNTIFS(tblTecnicos[rotativo],"SI",tblTecnicos[especialidad],tblAsignaciones[[#This Row],[especialidad]],tblTecnicos[area],tblAsignaciones[[#This Row],[area]])</f>
        <v/>
      </c>
      <c r="G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6" t="n"/>
      <c r="I21" s="3">
        <f>IF(tblAsignaciones[[#This Row],[turno_manual]]&lt;&gt;"",tblAsignaciones[[#This Row],[turno_manual]],IF(LEFT(tblAsignaciones[[#This Row],[posicion_ciclo]],1)="B","B",tblAsignaciones[[#This Row],[posicion_ciclo]]))</f>
        <v/>
      </c>
      <c r="J21" s="3">
        <f>_xlfn.XLOOKUP(tblAsignaciones[[#This Row],[tecnico]],tblTecnicos[nombre],tblTecnicos[coordinador],"")</f>
        <v/>
      </c>
      <c r="K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" s="3">
        <f>tblAsignaciones[[#This Row],[semana]]&amp;"|"&amp;tblAsignaciones[[#This Row],[dia]]&amp;"|"&amp;tblAsignaciones[[#This Row],[tecnico]]</f>
        <v/>
      </c>
      <c r="N21" s="3">
        <f>_xlfn.XLOOKUP(tblAsignaciones[[#This Row],[turno]],tblTurnos[turno],tblTurnos[hora_inicio],"")</f>
        <v/>
      </c>
      <c r="O21" s="3">
        <f>_xlfn.XLOOKUP(tblAsignaciones[[#This Row],[turno]],tblTurnos[turno],tblTurnos[hora_fin],"")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3">
        <f>COUNTIFS(tblTecnicos[rotativo],"SI",tblTecnicos[especialidad],tblAsignaciones[[#This Row],[especialidad]],tblTecnicos[area],tblAsignaciones[[#This Row],[area]])</f>
        <v/>
      </c>
      <c r="G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6" t="n"/>
      <c r="I22" s="3">
        <f>IF(tblAsignaciones[[#This Row],[turno_manual]]&lt;&gt;"",tblAsignaciones[[#This Row],[turno_manual]],IF(LEFT(tblAsignaciones[[#This Row],[posicion_ciclo]],1)="B","B",tblAsignaciones[[#This Row],[posicion_ciclo]]))</f>
        <v/>
      </c>
      <c r="J22" s="3">
        <f>_xlfn.XLOOKUP(tblAsignaciones[[#This Row],[tecnico]],tblTecnicos[nombre],tblTecnicos[coordinador],"")</f>
        <v/>
      </c>
      <c r="K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" s="3">
        <f>tblAsignaciones[[#This Row],[semana]]&amp;"|"&amp;tblAsignaciones[[#This Row],[dia]]&amp;"|"&amp;tblAsignaciones[[#This Row],[tecnico]]</f>
        <v/>
      </c>
      <c r="N22" s="3">
        <f>_xlfn.XLOOKUP(tblAsignaciones[[#This Row],[turno]],tblTurnos[turno],tblTurnos[hora_inicio],"")</f>
        <v/>
      </c>
      <c r="O22" s="3">
        <f>_xlfn.XLOOKUP(tblAsignaciones[[#This Row],[turno]],tblTurnos[turno],tblTurnos[hora_fin],"")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3">
        <f>COUNTIFS(tblTecnicos[rotativo],"SI",tblTecnicos[especialidad],tblAsignaciones[[#This Row],[especialidad]],tblTecnicos[area],tblAsignaciones[[#This Row],[area]])</f>
        <v/>
      </c>
      <c r="G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6" t="n"/>
      <c r="I23" s="3">
        <f>IF(tblAsignaciones[[#This Row],[turno_manual]]&lt;&gt;"",tblAsignaciones[[#This Row],[turno_manual]],IF(LEFT(tblAsignaciones[[#This Row],[posicion_ciclo]],1)="B","B",tblAsignaciones[[#This Row],[posicion_ciclo]]))</f>
        <v/>
      </c>
      <c r="J23" s="3">
        <f>_xlfn.XLOOKUP(tblAsignaciones[[#This Row],[tecnico]],tblTecnicos[nombre],tblTecnicos[coordinador],"")</f>
        <v/>
      </c>
      <c r="K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" s="3">
        <f>tblAsignaciones[[#This Row],[semana]]&amp;"|"&amp;tblAsignaciones[[#This Row],[dia]]&amp;"|"&amp;tblAsignaciones[[#This Row],[tecnico]]</f>
        <v/>
      </c>
      <c r="N23" s="3">
        <f>_xlfn.XLOOKUP(tblAsignaciones[[#This Row],[turno]],tblTurnos[turno],tblTurnos[hora_inicio],"")</f>
        <v/>
      </c>
      <c r="O23" s="3">
        <f>_xlfn.XLOOKUP(tblAsignaciones[[#This Row],[turno]],tblTurnos[turno],tblTurnos[hora_fin],"")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3">
        <f>COUNTIFS(tblTecnicos[rotativo],"SI",tblTecnicos[especialidad],tblAsignaciones[[#This Row],[especialidad]],tblTecnicos[area],tblAsignaciones[[#This Row],[area]])</f>
        <v/>
      </c>
      <c r="G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6" t="n"/>
      <c r="I24" s="3">
        <f>IF(tblAsignaciones[[#This Row],[turno_manual]]&lt;&gt;"",tblAsignaciones[[#This Row],[turno_manual]],IF(LEFT(tblAsignaciones[[#This Row],[posicion_ciclo]],1)="B","B",tblAsignaciones[[#This Row],[posicion_ciclo]]))</f>
        <v/>
      </c>
      <c r="J24" s="3">
        <f>_xlfn.XLOOKUP(tblAsignaciones[[#This Row],[tecnico]],tblTecnicos[nombre],tblTecnicos[coordinador],"")</f>
        <v/>
      </c>
      <c r="K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" s="3">
        <f>tblAsignaciones[[#This Row],[semana]]&amp;"|"&amp;tblAsignaciones[[#This Row],[dia]]&amp;"|"&amp;tblAsignaciones[[#This Row],[tecnico]]</f>
        <v/>
      </c>
      <c r="N24" s="3">
        <f>_xlfn.XLOOKUP(tblAsignaciones[[#This Row],[turno]],tblTurnos[turno],tblTurnos[hora_inicio],"")</f>
        <v/>
      </c>
      <c r="O24" s="3">
        <f>_xlfn.XLOOKUP(tblAsignaciones[[#This Row],[turno]],tblTurnos[turno],tblTurnos[hora_fin],"")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3">
        <f>COUNTIFS(tblTecnicos[rotativo],"SI",tblTecnicos[especialidad],tblAsignaciones[[#This Row],[especialidad]],tblTecnicos[area],tblAsignaciones[[#This Row],[area]])</f>
        <v/>
      </c>
      <c r="G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6" t="n"/>
      <c r="I25" s="3">
        <f>IF(tblAsignaciones[[#This Row],[turno_manual]]&lt;&gt;"",tblAsignaciones[[#This Row],[turno_manual]],IF(LEFT(tblAsignaciones[[#This Row],[posicion_ciclo]],1)="B","B",tblAsignaciones[[#This Row],[posicion_ciclo]]))</f>
        <v/>
      </c>
      <c r="J25" s="3">
        <f>_xlfn.XLOOKUP(tblAsignaciones[[#This Row],[tecnico]],tblTecnicos[nombre],tblTecnicos[coordinador],"")</f>
        <v/>
      </c>
      <c r="K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" s="3">
        <f>tblAsignaciones[[#This Row],[semana]]&amp;"|"&amp;tblAsignaciones[[#This Row],[dia]]&amp;"|"&amp;tblAsignaciones[[#This Row],[tecnico]]</f>
        <v/>
      </c>
      <c r="N25" s="3">
        <f>_xlfn.XLOOKUP(tblAsignaciones[[#This Row],[turno]],tblTurnos[turno],tblTurnos[hora_inicio],"")</f>
        <v/>
      </c>
      <c r="O25" s="3">
        <f>_xlfn.XLOOKUP(tblAsignaciones[[#This Row],[turno]],tblTurnos[turno],tblTurnos[hora_fin],"")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3">
        <f>COUNTIFS(tblTecnicos[rotativo],"SI",tblTecnicos[especialidad],tblAsignaciones[[#This Row],[especialidad]],tblTecnicos[area],tblAsignaciones[[#This Row],[area]])</f>
        <v/>
      </c>
      <c r="G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6" t="n"/>
      <c r="I26" s="3">
        <f>IF(tblAsignaciones[[#This Row],[turno_manual]]&lt;&gt;"",tblAsignaciones[[#This Row],[turno_manual]],IF(LEFT(tblAsignaciones[[#This Row],[posicion_ciclo]],1)="B","B",tblAsignaciones[[#This Row],[posicion_ciclo]]))</f>
        <v/>
      </c>
      <c r="J26" s="3">
        <f>_xlfn.XLOOKUP(tblAsignaciones[[#This Row],[tecnico]],tblTecnicos[nombre],tblTecnicos[coordinador],"")</f>
        <v/>
      </c>
      <c r="K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" s="3">
        <f>tblAsignaciones[[#This Row],[semana]]&amp;"|"&amp;tblAsignaciones[[#This Row],[dia]]&amp;"|"&amp;tblAsignaciones[[#This Row],[tecnico]]</f>
        <v/>
      </c>
      <c r="N26" s="3">
        <f>_xlfn.XLOOKUP(tblAsignaciones[[#This Row],[turno]],tblTurnos[turno],tblTurnos[hora_inicio],"")</f>
        <v/>
      </c>
      <c r="O26" s="3">
        <f>_xlfn.XLOOKUP(tblAsignaciones[[#This Row],[turno]],tblTurnos[turno],tblTurnos[hora_fin],"")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3">
        <f>COUNTIFS(tblTecnicos[rotativo],"SI",tblTecnicos[especialidad],tblAsignaciones[[#This Row],[especialidad]],tblTecnicos[area],tblAsignaciones[[#This Row],[area]])</f>
        <v/>
      </c>
      <c r="G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6" t="n"/>
      <c r="I27" s="3">
        <f>IF(tblAsignaciones[[#This Row],[turno_manual]]&lt;&gt;"",tblAsignaciones[[#This Row],[turno_manual]],IF(LEFT(tblAsignaciones[[#This Row],[posicion_ciclo]],1)="B","B",tblAsignaciones[[#This Row],[posicion_ciclo]]))</f>
        <v/>
      </c>
      <c r="J27" s="3">
        <f>_xlfn.XLOOKUP(tblAsignaciones[[#This Row],[tecnico]],tblTecnicos[nombre],tblTecnicos[coordinador],"")</f>
        <v/>
      </c>
      <c r="K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" s="3">
        <f>tblAsignaciones[[#This Row],[semana]]&amp;"|"&amp;tblAsignaciones[[#This Row],[dia]]&amp;"|"&amp;tblAsignaciones[[#This Row],[tecnico]]</f>
        <v/>
      </c>
      <c r="N27" s="3">
        <f>_xlfn.XLOOKUP(tblAsignaciones[[#This Row],[turno]],tblTurnos[turno],tblTurnos[hora_inicio],"")</f>
        <v/>
      </c>
      <c r="O27" s="3">
        <f>_xlfn.XLOOKUP(tblAsignaciones[[#This Row],[turno]],tblTurnos[turno],tblTurnos[hora_fin],"")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3">
        <f>COUNTIFS(tblTecnicos[rotativo],"SI",tblTecnicos[especialidad],tblAsignaciones[[#This Row],[especialidad]],tblTecnicos[area],tblAsignaciones[[#This Row],[area]])</f>
        <v/>
      </c>
      <c r="G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6" t="n"/>
      <c r="I28" s="3">
        <f>IF(tblAsignaciones[[#This Row],[turno_manual]]&lt;&gt;"",tblAsignaciones[[#This Row],[turno_manual]],IF(LEFT(tblAsignaciones[[#This Row],[posicion_ciclo]],1)="B","B",tblAsignaciones[[#This Row],[posicion_ciclo]]))</f>
        <v/>
      </c>
      <c r="J28" s="3">
        <f>_xlfn.XLOOKUP(tblAsignaciones[[#This Row],[tecnico]],tblTecnicos[nombre],tblTecnicos[coordinador],"")</f>
        <v/>
      </c>
      <c r="K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" s="3">
        <f>tblAsignaciones[[#This Row],[semana]]&amp;"|"&amp;tblAsignaciones[[#This Row],[dia]]&amp;"|"&amp;tblAsignaciones[[#This Row],[tecnico]]</f>
        <v/>
      </c>
      <c r="N28" s="3">
        <f>_xlfn.XLOOKUP(tblAsignaciones[[#This Row],[turno]],tblTurnos[turno],tblTurnos[hora_inicio],"")</f>
        <v/>
      </c>
      <c r="O28" s="3">
        <f>_xlfn.XLOOKUP(tblAsignaciones[[#This Row],[turno]],tblTurnos[turno],tblTurnos[hora_fin],"")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3">
        <f>COUNTIFS(tblTecnicos[rotativo],"SI",tblTecnicos[especialidad],tblAsignaciones[[#This Row],[especialidad]],tblTecnicos[area],tblAsignaciones[[#This Row],[area]])</f>
        <v/>
      </c>
      <c r="G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6" t="n"/>
      <c r="I29" s="3">
        <f>IF(tblAsignaciones[[#This Row],[turno_manual]]&lt;&gt;"",tblAsignaciones[[#This Row],[turno_manual]],IF(LEFT(tblAsignaciones[[#This Row],[posicion_ciclo]],1)="B","B",tblAsignaciones[[#This Row],[posicion_ciclo]]))</f>
        <v/>
      </c>
      <c r="J29" s="3">
        <f>_xlfn.XLOOKUP(tblAsignaciones[[#This Row],[tecnico]],tblTecnicos[nombre],tblTecnicos[coordinador],"")</f>
        <v/>
      </c>
      <c r="K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" s="3">
        <f>tblAsignaciones[[#This Row],[semana]]&amp;"|"&amp;tblAsignaciones[[#This Row],[dia]]&amp;"|"&amp;tblAsignaciones[[#This Row],[tecnico]]</f>
        <v/>
      </c>
      <c r="N29" s="3">
        <f>_xlfn.XLOOKUP(tblAsignaciones[[#This Row],[turno]],tblTurnos[turno],tblTurnos[hora_inicio],"")</f>
        <v/>
      </c>
      <c r="O29" s="3">
        <f>_xlfn.XLOOKUP(tblAsignaciones[[#This Row],[turno]],tblTurnos[turno],tblTurnos[hora_fin],"")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3">
        <f>COUNTIFS(tblTecnicos[rotativo],"SI",tblTecnicos[especialidad],tblAsignaciones[[#This Row],[especialidad]],tblTecnicos[area],tblAsignaciones[[#This Row],[area]])</f>
        <v/>
      </c>
      <c r="G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6" t="n"/>
      <c r="I30" s="3">
        <f>IF(tblAsignaciones[[#This Row],[turno_manual]]&lt;&gt;"",tblAsignaciones[[#This Row],[turno_manual]],IF(LEFT(tblAsignaciones[[#This Row],[posicion_ciclo]],1)="B","B",tblAsignaciones[[#This Row],[posicion_ciclo]]))</f>
        <v/>
      </c>
      <c r="J30" s="3">
        <f>_xlfn.XLOOKUP(tblAsignaciones[[#This Row],[tecnico]],tblTecnicos[nombre],tblTecnicos[coordinador],"")</f>
        <v/>
      </c>
      <c r="K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" s="3">
        <f>tblAsignaciones[[#This Row],[semana]]&amp;"|"&amp;tblAsignaciones[[#This Row],[dia]]&amp;"|"&amp;tblAsignaciones[[#This Row],[tecnico]]</f>
        <v/>
      </c>
      <c r="N30" s="3">
        <f>_xlfn.XLOOKUP(tblAsignaciones[[#This Row],[turno]],tblTurnos[turno],tblTurnos[hora_inicio],"")</f>
        <v/>
      </c>
      <c r="O30" s="3">
        <f>_xlfn.XLOOKUP(tblAsignaciones[[#This Row],[turno]],tblTurnos[turno],tblTurnos[hora_fin],"")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3">
        <f>COUNTIFS(tblTecnicos[rotativo],"SI",tblTecnicos[especialidad],tblAsignaciones[[#This Row],[especialidad]],tblTecnicos[area],tblAsignaciones[[#This Row],[area]])</f>
        <v/>
      </c>
      <c r="G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6" t="n"/>
      <c r="I31" s="3">
        <f>IF(tblAsignaciones[[#This Row],[turno_manual]]&lt;&gt;"",tblAsignaciones[[#This Row],[turno_manual]],IF(LEFT(tblAsignaciones[[#This Row],[posicion_ciclo]],1)="B","B",tblAsignaciones[[#This Row],[posicion_ciclo]]))</f>
        <v/>
      </c>
      <c r="J31" s="3">
        <f>_xlfn.XLOOKUP(tblAsignaciones[[#This Row],[tecnico]],tblTecnicos[nombre],tblTecnicos[coordinador],"")</f>
        <v/>
      </c>
      <c r="K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" s="3">
        <f>tblAsignaciones[[#This Row],[semana]]&amp;"|"&amp;tblAsignaciones[[#This Row],[dia]]&amp;"|"&amp;tblAsignaciones[[#This Row],[tecnico]]</f>
        <v/>
      </c>
      <c r="N31" s="3">
        <f>_xlfn.XLOOKUP(tblAsignaciones[[#This Row],[turno]],tblTurnos[turno],tblTurnos[hora_inicio],"")</f>
        <v/>
      </c>
      <c r="O31" s="3">
        <f>_xlfn.XLOOKUP(tblAsignaciones[[#This Row],[turno]],tblTurnos[turno],tblTurnos[hora_fin],"")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3">
        <f>COUNTIFS(tblTecnicos[rotativo],"SI",tblTecnicos[especialidad],tblAsignaciones[[#This Row],[especialidad]],tblTecnicos[area],tblAsignaciones[[#This Row],[area]])</f>
        <v/>
      </c>
      <c r="G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6" t="n"/>
      <c r="I32" s="3">
        <f>IF(tblAsignaciones[[#This Row],[turno_manual]]&lt;&gt;"",tblAsignaciones[[#This Row],[turno_manual]],IF(LEFT(tblAsignaciones[[#This Row],[posicion_ciclo]],1)="B","B",tblAsignaciones[[#This Row],[posicion_ciclo]]))</f>
        <v/>
      </c>
      <c r="J32" s="3">
        <f>_xlfn.XLOOKUP(tblAsignaciones[[#This Row],[tecnico]],tblTecnicos[nombre],tblTecnicos[coordinador],"")</f>
        <v/>
      </c>
      <c r="K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" s="3">
        <f>tblAsignaciones[[#This Row],[semana]]&amp;"|"&amp;tblAsignaciones[[#This Row],[dia]]&amp;"|"&amp;tblAsignaciones[[#This Row],[tecnico]]</f>
        <v/>
      </c>
      <c r="N32" s="3">
        <f>_xlfn.XLOOKUP(tblAsignaciones[[#This Row],[turno]],tblTurnos[turno],tblTurnos[hora_inicio],"")</f>
        <v/>
      </c>
      <c r="O32" s="3">
        <f>_xlfn.XLOOKUP(tblAsignaciones[[#This Row],[turno]],tblTurnos[turno],tblTurnos[hora_fin],"")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3">
        <f>COUNTIFS(tblTecnicos[rotativo],"SI",tblTecnicos[especialidad],tblAsignaciones[[#This Row],[especialidad]],tblTecnicos[area],tblAsignaciones[[#This Row],[area]])</f>
        <v/>
      </c>
      <c r="G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6" t="n"/>
      <c r="I33" s="3">
        <f>IF(tblAsignaciones[[#This Row],[turno_manual]]&lt;&gt;"",tblAsignaciones[[#This Row],[turno_manual]],IF(LEFT(tblAsignaciones[[#This Row],[posicion_ciclo]],1)="B","B",tblAsignaciones[[#This Row],[posicion_ciclo]]))</f>
        <v/>
      </c>
      <c r="J33" s="3">
        <f>_xlfn.XLOOKUP(tblAsignaciones[[#This Row],[tecnico]],tblTecnicos[nombre],tblTecnicos[coordinador],"")</f>
        <v/>
      </c>
      <c r="K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" s="3">
        <f>tblAsignaciones[[#This Row],[semana]]&amp;"|"&amp;tblAsignaciones[[#This Row],[dia]]&amp;"|"&amp;tblAsignaciones[[#This Row],[tecnico]]</f>
        <v/>
      </c>
      <c r="N33" s="3">
        <f>_xlfn.XLOOKUP(tblAsignaciones[[#This Row],[turno]],tblTurnos[turno],tblTurnos[hora_inicio],"")</f>
        <v/>
      </c>
      <c r="O33" s="3">
        <f>_xlfn.XLOOKUP(tblAsignaciones[[#This Row],[turno]],tblTurnos[turno],tblTurnos[hora_fin],"")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3">
        <f>COUNTIFS(tblTecnicos[rotativo],"SI",tblTecnicos[especialidad],tblAsignaciones[[#This Row],[especialidad]],tblTecnicos[area],tblAsignaciones[[#This Row],[area]])</f>
        <v/>
      </c>
      <c r="G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6" t="n"/>
      <c r="I34" s="3">
        <f>IF(tblAsignaciones[[#This Row],[turno_manual]]&lt;&gt;"",tblAsignaciones[[#This Row],[turno_manual]],IF(LEFT(tblAsignaciones[[#This Row],[posicion_ciclo]],1)="B","B",tblAsignaciones[[#This Row],[posicion_ciclo]]))</f>
        <v/>
      </c>
      <c r="J34" s="3">
        <f>_xlfn.XLOOKUP(tblAsignaciones[[#This Row],[tecnico]],tblTecnicos[nombre],tblTecnicos[coordinador],"")</f>
        <v/>
      </c>
      <c r="K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" s="3">
        <f>tblAsignaciones[[#This Row],[semana]]&amp;"|"&amp;tblAsignaciones[[#This Row],[dia]]&amp;"|"&amp;tblAsignaciones[[#This Row],[tecnico]]</f>
        <v/>
      </c>
      <c r="N34" s="3">
        <f>_xlfn.XLOOKUP(tblAsignaciones[[#This Row],[turno]],tblTurnos[turno],tblTurnos[hora_inicio],"")</f>
        <v/>
      </c>
      <c r="O34" s="3">
        <f>_xlfn.XLOOKUP(tblAsignaciones[[#This Row],[turno]],tblTurnos[turno],tblTurnos[hora_fin],"")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3">
        <f>COUNTIFS(tblTecnicos[rotativo],"SI",tblTecnicos[especialidad],tblAsignaciones[[#This Row],[especialidad]],tblTecnicos[area],tblAsignaciones[[#This Row],[area]])</f>
        <v/>
      </c>
      <c r="G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6" t="n"/>
      <c r="I35" s="3">
        <f>IF(tblAsignaciones[[#This Row],[turno_manual]]&lt;&gt;"",tblAsignaciones[[#This Row],[turno_manual]],IF(LEFT(tblAsignaciones[[#This Row],[posicion_ciclo]],1)="B","B",tblAsignaciones[[#This Row],[posicion_ciclo]]))</f>
        <v/>
      </c>
      <c r="J35" s="3">
        <f>_xlfn.XLOOKUP(tblAsignaciones[[#This Row],[tecnico]],tblTecnicos[nombre],tblTecnicos[coordinador],"")</f>
        <v/>
      </c>
      <c r="K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" s="3">
        <f>tblAsignaciones[[#This Row],[semana]]&amp;"|"&amp;tblAsignaciones[[#This Row],[dia]]&amp;"|"&amp;tblAsignaciones[[#This Row],[tecnico]]</f>
        <v/>
      </c>
      <c r="N35" s="3">
        <f>_xlfn.XLOOKUP(tblAsignaciones[[#This Row],[turno]],tblTurnos[turno],tblTurnos[hora_inicio],"")</f>
        <v/>
      </c>
      <c r="O35" s="3">
        <f>_xlfn.XLOOKUP(tblAsignaciones[[#This Row],[turno]],tblTurnos[turno],tblTurnos[hora_fin],"")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3">
        <f>COUNTIFS(tblTecnicos[rotativo],"SI",tblTecnicos[especialidad],tblAsignaciones[[#This Row],[especialidad]],tblTecnicos[area],tblAsignaciones[[#This Row],[area]])</f>
        <v/>
      </c>
      <c r="G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6" t="n"/>
      <c r="I36" s="3">
        <f>IF(tblAsignaciones[[#This Row],[turno_manual]]&lt;&gt;"",tblAsignaciones[[#This Row],[turno_manual]],IF(LEFT(tblAsignaciones[[#This Row],[posicion_ciclo]],1)="B","B",tblAsignaciones[[#This Row],[posicion_ciclo]]))</f>
        <v/>
      </c>
      <c r="J36" s="3">
        <f>_xlfn.XLOOKUP(tblAsignaciones[[#This Row],[tecnico]],tblTecnicos[nombre],tblTecnicos[coordinador],"")</f>
        <v/>
      </c>
      <c r="K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" s="3">
        <f>tblAsignaciones[[#This Row],[semana]]&amp;"|"&amp;tblAsignaciones[[#This Row],[dia]]&amp;"|"&amp;tblAsignaciones[[#This Row],[tecnico]]</f>
        <v/>
      </c>
      <c r="N36" s="3">
        <f>_xlfn.XLOOKUP(tblAsignaciones[[#This Row],[turno]],tblTurnos[turno],tblTurnos[hora_inicio],"")</f>
        <v/>
      </c>
      <c r="O36" s="3">
        <f>_xlfn.XLOOKUP(tblAsignaciones[[#This Row],[turno]],tblTurnos[turno],tblTurnos[hora_fin],"")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3">
        <f>COUNTIFS(tblTecnicos[rotativo],"SI",tblTecnicos[especialidad],tblAsignaciones[[#This Row],[especialidad]],tblTecnicos[area],tblAsignaciones[[#This Row],[area]])</f>
        <v/>
      </c>
      <c r="G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6" t="n"/>
      <c r="I37" s="3">
        <f>IF(tblAsignaciones[[#This Row],[turno_manual]]&lt;&gt;"",tblAsignaciones[[#This Row],[turno_manual]],IF(LEFT(tblAsignaciones[[#This Row],[posicion_ciclo]],1)="B","B",tblAsignaciones[[#This Row],[posicion_ciclo]]))</f>
        <v/>
      </c>
      <c r="J37" s="3">
        <f>_xlfn.XLOOKUP(tblAsignaciones[[#This Row],[tecnico]],tblTecnicos[nombre],tblTecnicos[coordinador],"")</f>
        <v/>
      </c>
      <c r="K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" s="3">
        <f>tblAsignaciones[[#This Row],[semana]]&amp;"|"&amp;tblAsignaciones[[#This Row],[dia]]&amp;"|"&amp;tblAsignaciones[[#This Row],[tecnico]]</f>
        <v/>
      </c>
      <c r="N37" s="3">
        <f>_xlfn.XLOOKUP(tblAsignaciones[[#This Row],[turno]],tblTurnos[turno],tblTurnos[hora_inicio],"")</f>
        <v/>
      </c>
      <c r="O37" s="3">
        <f>_xlfn.XLOOKUP(tblAsignaciones[[#This Row],[turno]],tblTurnos[turno],tblTurnos[hora_fin],"")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3">
        <f>COUNTIFS(tblTecnicos[rotativo],"SI",tblTecnicos[especialidad],tblAsignaciones[[#This Row],[especialidad]],tblTecnicos[area],tblAsignaciones[[#This Row],[area]])</f>
        <v/>
      </c>
      <c r="G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6" t="n"/>
      <c r="I38" s="3">
        <f>IF(tblAsignaciones[[#This Row],[turno_manual]]&lt;&gt;"",tblAsignaciones[[#This Row],[turno_manual]],IF(LEFT(tblAsignaciones[[#This Row],[posicion_ciclo]],1)="B","B",tblAsignaciones[[#This Row],[posicion_ciclo]]))</f>
        <v/>
      </c>
      <c r="J38" s="3">
        <f>_xlfn.XLOOKUP(tblAsignaciones[[#This Row],[tecnico]],tblTecnicos[nombre],tblTecnicos[coordinador],"")</f>
        <v/>
      </c>
      <c r="K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" s="3">
        <f>tblAsignaciones[[#This Row],[semana]]&amp;"|"&amp;tblAsignaciones[[#This Row],[dia]]&amp;"|"&amp;tblAsignaciones[[#This Row],[tecnico]]</f>
        <v/>
      </c>
      <c r="N38" s="3">
        <f>_xlfn.XLOOKUP(tblAsignaciones[[#This Row],[turno]],tblTurnos[turno],tblTurnos[hora_inicio],"")</f>
        <v/>
      </c>
      <c r="O38" s="3">
        <f>_xlfn.XLOOKUP(tblAsignaciones[[#This Row],[turno]],tblTurnos[turno],tblTurnos[hora_fin],"")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3">
        <f>COUNTIFS(tblTecnicos[rotativo],"SI",tblTecnicos[especialidad],tblAsignaciones[[#This Row],[especialidad]],tblTecnicos[area],tblAsignaciones[[#This Row],[area]])</f>
        <v/>
      </c>
      <c r="G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6" t="n"/>
      <c r="I39" s="3">
        <f>IF(tblAsignaciones[[#This Row],[turno_manual]]&lt;&gt;"",tblAsignaciones[[#This Row],[turno_manual]],IF(LEFT(tblAsignaciones[[#This Row],[posicion_ciclo]],1)="B","B",tblAsignaciones[[#This Row],[posicion_ciclo]]))</f>
        <v/>
      </c>
      <c r="J39" s="3">
        <f>_xlfn.XLOOKUP(tblAsignaciones[[#This Row],[tecnico]],tblTecnicos[nombre],tblTecnicos[coordinador],"")</f>
        <v/>
      </c>
      <c r="K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" s="3">
        <f>tblAsignaciones[[#This Row],[semana]]&amp;"|"&amp;tblAsignaciones[[#This Row],[dia]]&amp;"|"&amp;tblAsignaciones[[#This Row],[tecnico]]</f>
        <v/>
      </c>
      <c r="N39" s="3">
        <f>_xlfn.XLOOKUP(tblAsignaciones[[#This Row],[turno]],tblTurnos[turno],tblTurnos[hora_inicio],"")</f>
        <v/>
      </c>
      <c r="O39" s="3">
        <f>_xlfn.XLOOKUP(tblAsignaciones[[#This Row],[turno]],tblTurnos[turno],tblTurnos[hora_fin],"")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3">
        <f>COUNTIFS(tblTecnicos[rotativo],"SI",tblTecnicos[especialidad],tblAsignaciones[[#This Row],[especialidad]],tblTecnicos[area],tblAsignaciones[[#This Row],[area]])</f>
        <v/>
      </c>
      <c r="G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6" t="n"/>
      <c r="I40" s="3">
        <f>IF(tblAsignaciones[[#This Row],[turno_manual]]&lt;&gt;"",tblAsignaciones[[#This Row],[turno_manual]],IF(LEFT(tblAsignaciones[[#This Row],[posicion_ciclo]],1)="B","B",tblAsignaciones[[#This Row],[posicion_ciclo]]))</f>
        <v/>
      </c>
      <c r="J40" s="3">
        <f>_xlfn.XLOOKUP(tblAsignaciones[[#This Row],[tecnico]],tblTecnicos[nombre],tblTecnicos[coordinador],"")</f>
        <v/>
      </c>
      <c r="K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" s="3">
        <f>tblAsignaciones[[#This Row],[semana]]&amp;"|"&amp;tblAsignaciones[[#This Row],[dia]]&amp;"|"&amp;tblAsignaciones[[#This Row],[tecnico]]</f>
        <v/>
      </c>
      <c r="N40" s="3">
        <f>_xlfn.XLOOKUP(tblAsignaciones[[#This Row],[turno]],tblTurnos[turno],tblTurnos[hora_inicio],"")</f>
        <v/>
      </c>
      <c r="O40" s="3">
        <f>_xlfn.XLOOKUP(tblAsignaciones[[#This Row],[turno]],tblTurnos[turno],tblTurnos[hora_fin],"")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3">
        <f>COUNTIFS(tblTecnicos[rotativo],"SI",tblTecnicos[especialidad],tblAsignaciones[[#This Row],[especialidad]],tblTecnicos[area],tblAsignaciones[[#This Row],[area]])</f>
        <v/>
      </c>
      <c r="G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6" t="n"/>
      <c r="I41" s="3">
        <f>IF(tblAsignaciones[[#This Row],[turno_manual]]&lt;&gt;"",tblAsignaciones[[#This Row],[turno_manual]],IF(LEFT(tblAsignaciones[[#This Row],[posicion_ciclo]],1)="B","B",tblAsignaciones[[#This Row],[posicion_ciclo]]))</f>
        <v/>
      </c>
      <c r="J41" s="3">
        <f>_xlfn.XLOOKUP(tblAsignaciones[[#This Row],[tecnico]],tblTecnicos[nombre],tblTecnicos[coordinador],"")</f>
        <v/>
      </c>
      <c r="K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" s="3">
        <f>tblAsignaciones[[#This Row],[semana]]&amp;"|"&amp;tblAsignaciones[[#This Row],[dia]]&amp;"|"&amp;tblAsignaciones[[#This Row],[tecnico]]</f>
        <v/>
      </c>
      <c r="N41" s="3">
        <f>_xlfn.XLOOKUP(tblAsignaciones[[#This Row],[turno]],tblTurnos[turno],tblTurnos[hora_inicio],"")</f>
        <v/>
      </c>
      <c r="O41" s="3">
        <f>_xlfn.XLOOKUP(tblAsignaciones[[#This Row],[turno]],tblTurnos[turno],tblTurnos[hora_fin],"")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3">
        <f>COUNTIFS(tblTecnicos[rotativo],"SI",tblTecnicos[especialidad],tblAsignaciones[[#This Row],[especialidad]],tblTecnicos[area],tblAsignaciones[[#This Row],[area]])</f>
        <v/>
      </c>
      <c r="G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6" t="n"/>
      <c r="I42" s="3">
        <f>IF(tblAsignaciones[[#This Row],[turno_manual]]&lt;&gt;"",tblAsignaciones[[#This Row],[turno_manual]],IF(LEFT(tblAsignaciones[[#This Row],[posicion_ciclo]],1)="B","B",tblAsignaciones[[#This Row],[posicion_ciclo]]))</f>
        <v/>
      </c>
      <c r="J42" s="3">
        <f>_xlfn.XLOOKUP(tblAsignaciones[[#This Row],[tecnico]],tblTecnicos[nombre],tblTecnicos[coordinador],"")</f>
        <v/>
      </c>
      <c r="K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" s="3">
        <f>tblAsignaciones[[#This Row],[semana]]&amp;"|"&amp;tblAsignaciones[[#This Row],[dia]]&amp;"|"&amp;tblAsignaciones[[#This Row],[tecnico]]</f>
        <v/>
      </c>
      <c r="N42" s="3">
        <f>_xlfn.XLOOKUP(tblAsignaciones[[#This Row],[turno]],tblTurnos[turno],tblTurnos[hora_inicio],"")</f>
        <v/>
      </c>
      <c r="O42" s="3">
        <f>_xlfn.XLOOKUP(tblAsignaciones[[#This Row],[turno]],tblTurnos[turno],tblTurnos[hora_fin],"")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3">
        <f>COUNTIFS(tblTecnicos[rotativo],"SI",tblTecnicos[especialidad],tblAsignaciones[[#This Row],[especialidad]],tblTecnicos[area],tblAsignaciones[[#This Row],[area]])</f>
        <v/>
      </c>
      <c r="G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6" t="n"/>
      <c r="I43" s="3">
        <f>IF(tblAsignaciones[[#This Row],[turno_manual]]&lt;&gt;"",tblAsignaciones[[#This Row],[turno_manual]],IF(LEFT(tblAsignaciones[[#This Row],[posicion_ciclo]],1)="B","B",tblAsignaciones[[#This Row],[posicion_ciclo]]))</f>
        <v/>
      </c>
      <c r="J43" s="3">
        <f>_xlfn.XLOOKUP(tblAsignaciones[[#This Row],[tecnico]],tblTecnicos[nombre],tblTecnicos[coordinador],"")</f>
        <v/>
      </c>
      <c r="K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" s="3">
        <f>tblAsignaciones[[#This Row],[semana]]&amp;"|"&amp;tblAsignaciones[[#This Row],[dia]]&amp;"|"&amp;tblAsignaciones[[#This Row],[tecnico]]</f>
        <v/>
      </c>
      <c r="N43" s="3">
        <f>_xlfn.XLOOKUP(tblAsignaciones[[#This Row],[turno]],tblTurnos[turno],tblTurnos[hora_inicio],"")</f>
        <v/>
      </c>
      <c r="O43" s="3">
        <f>_xlfn.XLOOKUP(tblAsignaciones[[#This Row],[turno]],tblTurnos[turno],tblTurnos[hora_fin],"")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3">
        <f>COUNTIFS(tblTecnicos[rotativo],"SI",tblTecnicos[especialidad],tblAsignaciones[[#This Row],[especialidad]],tblTecnicos[area],tblAsignaciones[[#This Row],[area]])</f>
        <v/>
      </c>
      <c r="G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6" t="n"/>
      <c r="I44" s="3">
        <f>IF(tblAsignaciones[[#This Row],[turno_manual]]&lt;&gt;"",tblAsignaciones[[#This Row],[turno_manual]],IF(LEFT(tblAsignaciones[[#This Row],[posicion_ciclo]],1)="B","B",tblAsignaciones[[#This Row],[posicion_ciclo]]))</f>
        <v/>
      </c>
      <c r="J44" s="3">
        <f>_xlfn.XLOOKUP(tblAsignaciones[[#This Row],[tecnico]],tblTecnicos[nombre],tblTecnicos[coordinador],"")</f>
        <v/>
      </c>
      <c r="K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" s="3">
        <f>tblAsignaciones[[#This Row],[semana]]&amp;"|"&amp;tblAsignaciones[[#This Row],[dia]]&amp;"|"&amp;tblAsignaciones[[#This Row],[tecnico]]</f>
        <v/>
      </c>
      <c r="N44" s="3">
        <f>_xlfn.XLOOKUP(tblAsignaciones[[#This Row],[turno]],tblTurnos[turno],tblTurnos[hora_inicio],"")</f>
        <v/>
      </c>
      <c r="O44" s="3">
        <f>_xlfn.XLOOKUP(tblAsignaciones[[#This Row],[turno]],tblTurnos[turno],tblTurnos[hora_fin],"")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3">
        <f>COUNTIFS(tblTecnicos[rotativo],"SI",tblTecnicos[especialidad],tblAsignaciones[[#This Row],[especialidad]],tblTecnicos[area],tblAsignaciones[[#This Row],[area]])</f>
        <v/>
      </c>
      <c r="G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6" t="n"/>
      <c r="I45" s="3">
        <f>IF(tblAsignaciones[[#This Row],[turno_manual]]&lt;&gt;"",tblAsignaciones[[#This Row],[turno_manual]],IF(LEFT(tblAsignaciones[[#This Row],[posicion_ciclo]],1)="B","B",tblAsignaciones[[#This Row],[posicion_ciclo]]))</f>
        <v/>
      </c>
      <c r="J45" s="3">
        <f>_xlfn.XLOOKUP(tblAsignaciones[[#This Row],[tecnico]],tblTecnicos[nombre],tblTecnicos[coordinador],"")</f>
        <v/>
      </c>
      <c r="K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5" s="3">
        <f>tblAsignaciones[[#This Row],[semana]]&amp;"|"&amp;tblAsignaciones[[#This Row],[dia]]&amp;"|"&amp;tblAsignaciones[[#This Row],[tecnico]]</f>
        <v/>
      </c>
      <c r="N45" s="3">
        <f>_xlfn.XLOOKUP(tblAsignaciones[[#This Row],[turno]],tblTurnos[turno],tblTurnos[hora_inicio],"")</f>
        <v/>
      </c>
      <c r="O45" s="3">
        <f>_xlfn.XLOOKUP(tblAsignaciones[[#This Row],[turno]],tblTurnos[turno],tblTurnos[hora_fin],"")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3">
        <f>COUNTIFS(tblTecnicos[rotativo],"SI",tblTecnicos[especialidad],tblAsignaciones[[#This Row],[especialidad]],tblTecnicos[area],tblAsignaciones[[#This Row],[area]])</f>
        <v/>
      </c>
      <c r="G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6" t="n"/>
      <c r="I46" s="3">
        <f>IF(tblAsignaciones[[#This Row],[turno_manual]]&lt;&gt;"",tblAsignaciones[[#This Row],[turno_manual]],IF(LEFT(tblAsignaciones[[#This Row],[posicion_ciclo]],1)="B","B",tblAsignaciones[[#This Row],[posicion_ciclo]]))</f>
        <v/>
      </c>
      <c r="J46" s="3">
        <f>_xlfn.XLOOKUP(tblAsignaciones[[#This Row],[tecnico]],tblTecnicos[nombre],tblTecnicos[coordinador],"")</f>
        <v/>
      </c>
      <c r="K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6" s="3">
        <f>tblAsignaciones[[#This Row],[semana]]&amp;"|"&amp;tblAsignaciones[[#This Row],[dia]]&amp;"|"&amp;tblAsignaciones[[#This Row],[tecnico]]</f>
        <v/>
      </c>
      <c r="N46" s="3">
        <f>_xlfn.XLOOKUP(tblAsignaciones[[#This Row],[turno]],tblTurnos[turno],tblTurnos[hora_inicio],"")</f>
        <v/>
      </c>
      <c r="O46" s="3">
        <f>_xlfn.XLOOKUP(tblAsignaciones[[#This Row],[turno]],tblTurnos[turno],tblTurnos[hora_fin],"")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3">
        <f>COUNTIFS(tblTecnicos[rotativo],"SI",tblTecnicos[especialidad],tblAsignaciones[[#This Row],[especialidad]],tblTecnicos[area],tblAsignaciones[[#This Row],[area]])</f>
        <v/>
      </c>
      <c r="G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6" t="n"/>
      <c r="I47" s="3">
        <f>IF(tblAsignaciones[[#This Row],[turno_manual]]&lt;&gt;"",tblAsignaciones[[#This Row],[turno_manual]],IF(LEFT(tblAsignaciones[[#This Row],[posicion_ciclo]],1)="B","B",tblAsignaciones[[#This Row],[posicion_ciclo]]))</f>
        <v/>
      </c>
      <c r="J47" s="3">
        <f>_xlfn.XLOOKUP(tblAsignaciones[[#This Row],[tecnico]],tblTecnicos[nombre],tblTecnicos[coordinador],"")</f>
        <v/>
      </c>
      <c r="K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7" s="3">
        <f>tblAsignaciones[[#This Row],[semana]]&amp;"|"&amp;tblAsignaciones[[#This Row],[dia]]&amp;"|"&amp;tblAsignaciones[[#This Row],[tecnico]]</f>
        <v/>
      </c>
      <c r="N47" s="3">
        <f>_xlfn.XLOOKUP(tblAsignaciones[[#This Row],[turno]],tblTurnos[turno],tblTurnos[hora_inicio],"")</f>
        <v/>
      </c>
      <c r="O47" s="3">
        <f>_xlfn.XLOOKUP(tblAsignaciones[[#This Row],[turno]],tblTurnos[turno],tblTurnos[hora_fin],"")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3">
        <f>COUNTIFS(tblTecnicos[rotativo],"SI",tblTecnicos[especialidad],tblAsignaciones[[#This Row],[especialidad]],tblTecnicos[area],tblAsignaciones[[#This Row],[area]])</f>
        <v/>
      </c>
      <c r="G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6" t="n"/>
      <c r="I48" s="3">
        <f>IF(tblAsignaciones[[#This Row],[turno_manual]]&lt;&gt;"",tblAsignaciones[[#This Row],[turno_manual]],IF(LEFT(tblAsignaciones[[#This Row],[posicion_ciclo]],1)="B","B",tblAsignaciones[[#This Row],[posicion_ciclo]]))</f>
        <v/>
      </c>
      <c r="J48" s="3">
        <f>_xlfn.XLOOKUP(tblAsignaciones[[#This Row],[tecnico]],tblTecnicos[nombre],tblTecnicos[coordinador],"")</f>
        <v/>
      </c>
      <c r="K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8" s="3">
        <f>tblAsignaciones[[#This Row],[semana]]&amp;"|"&amp;tblAsignaciones[[#This Row],[dia]]&amp;"|"&amp;tblAsignaciones[[#This Row],[tecnico]]</f>
        <v/>
      </c>
      <c r="N48" s="3">
        <f>_xlfn.XLOOKUP(tblAsignaciones[[#This Row],[turno]],tblTurnos[turno],tblTurnos[hora_inicio],"")</f>
        <v/>
      </c>
      <c r="O48" s="3">
        <f>_xlfn.XLOOKUP(tblAsignaciones[[#This Row],[turno]],tblTurnos[turno],tblTurnos[hora_fin],"")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3">
        <f>COUNTIFS(tblTecnicos[rotativo],"SI",tblTecnicos[especialidad],tblAsignaciones[[#This Row],[especialidad]],tblTecnicos[area],tblAsignaciones[[#This Row],[area]])</f>
        <v/>
      </c>
      <c r="G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6" t="n"/>
      <c r="I49" s="3">
        <f>IF(tblAsignaciones[[#This Row],[turno_manual]]&lt;&gt;"",tblAsignaciones[[#This Row],[turno_manual]],IF(LEFT(tblAsignaciones[[#This Row],[posicion_ciclo]],1)="B","B",tblAsignaciones[[#This Row],[posicion_ciclo]]))</f>
        <v/>
      </c>
      <c r="J49" s="3">
        <f>_xlfn.XLOOKUP(tblAsignaciones[[#This Row],[tecnico]],tblTecnicos[nombre],tblTecnicos[coordinador],"")</f>
        <v/>
      </c>
      <c r="K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9" s="3">
        <f>tblAsignaciones[[#This Row],[semana]]&amp;"|"&amp;tblAsignaciones[[#This Row],[dia]]&amp;"|"&amp;tblAsignaciones[[#This Row],[tecnico]]</f>
        <v/>
      </c>
      <c r="N49" s="3">
        <f>_xlfn.XLOOKUP(tblAsignaciones[[#This Row],[turno]],tblTurnos[turno],tblTurnos[hora_inicio],"")</f>
        <v/>
      </c>
      <c r="O49" s="3">
        <f>_xlfn.XLOOKUP(tblAsignaciones[[#This Row],[turno]],tblTurnos[turno],tblTurnos[hora_fin],"")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3">
        <f>COUNTIFS(tblTecnicos[rotativo],"SI",tblTecnicos[especialidad],tblAsignaciones[[#This Row],[especialidad]],tblTecnicos[area],tblAsignaciones[[#This Row],[area]])</f>
        <v/>
      </c>
      <c r="G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6" t="n"/>
      <c r="I50" s="3">
        <f>IF(tblAsignaciones[[#This Row],[turno_manual]]&lt;&gt;"",tblAsignaciones[[#This Row],[turno_manual]],IF(LEFT(tblAsignaciones[[#This Row],[posicion_ciclo]],1)="B","B",tblAsignaciones[[#This Row],[posicion_ciclo]]))</f>
        <v/>
      </c>
      <c r="J50" s="3">
        <f>_xlfn.XLOOKUP(tblAsignaciones[[#This Row],[tecnico]],tblTecnicos[nombre],tblTecnicos[coordinador],"")</f>
        <v/>
      </c>
      <c r="K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0" s="3">
        <f>tblAsignaciones[[#This Row],[semana]]&amp;"|"&amp;tblAsignaciones[[#This Row],[dia]]&amp;"|"&amp;tblAsignaciones[[#This Row],[tecnico]]</f>
        <v/>
      </c>
      <c r="N50" s="3">
        <f>_xlfn.XLOOKUP(tblAsignaciones[[#This Row],[turno]],tblTurnos[turno],tblTurnos[hora_inicio],"")</f>
        <v/>
      </c>
      <c r="O50" s="3">
        <f>_xlfn.XLOOKUP(tblAsignaciones[[#This Row],[turno]],tblTurnos[turno],tblTurnos[hora_fin],"")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3">
        <f>COUNTIFS(tblTecnicos[rotativo],"SI",tblTecnicos[especialidad],tblAsignaciones[[#This Row],[especialidad]],tblTecnicos[area],tblAsignaciones[[#This Row],[area]])</f>
        <v/>
      </c>
      <c r="G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6" t="n"/>
      <c r="I51" s="3">
        <f>IF(tblAsignaciones[[#This Row],[turno_manual]]&lt;&gt;"",tblAsignaciones[[#This Row],[turno_manual]],IF(LEFT(tblAsignaciones[[#This Row],[posicion_ciclo]],1)="B","B",tblAsignaciones[[#This Row],[posicion_ciclo]]))</f>
        <v/>
      </c>
      <c r="J51" s="3">
        <f>_xlfn.XLOOKUP(tblAsignaciones[[#This Row],[tecnico]],tblTecnicos[nombre],tblTecnicos[coordinador],"")</f>
        <v/>
      </c>
      <c r="K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1" s="3">
        <f>tblAsignaciones[[#This Row],[semana]]&amp;"|"&amp;tblAsignaciones[[#This Row],[dia]]&amp;"|"&amp;tblAsignaciones[[#This Row],[tecnico]]</f>
        <v/>
      </c>
      <c r="N51" s="3">
        <f>_xlfn.XLOOKUP(tblAsignaciones[[#This Row],[turno]],tblTurnos[turno],tblTurnos[hora_inicio],"")</f>
        <v/>
      </c>
      <c r="O51" s="3">
        <f>_xlfn.XLOOKUP(tblAsignaciones[[#This Row],[turno]],tblTurnos[turno],tblTurnos[hora_fin],"")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3">
        <f>COUNTIFS(tblTecnicos[rotativo],"SI",tblTecnicos[especialidad],tblAsignaciones[[#This Row],[especialidad]],tblTecnicos[area],tblAsignaciones[[#This Row],[area]])</f>
        <v/>
      </c>
      <c r="G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6" t="n"/>
      <c r="I52" s="3">
        <f>IF(tblAsignaciones[[#This Row],[turno_manual]]&lt;&gt;"",tblAsignaciones[[#This Row],[turno_manual]],IF(LEFT(tblAsignaciones[[#This Row],[posicion_ciclo]],1)="B","B",tblAsignaciones[[#This Row],[posicion_ciclo]]))</f>
        <v/>
      </c>
      <c r="J52" s="3">
        <f>_xlfn.XLOOKUP(tblAsignaciones[[#This Row],[tecnico]],tblTecnicos[nombre],tblTecnicos[coordinador],"")</f>
        <v/>
      </c>
      <c r="K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2" s="3">
        <f>tblAsignaciones[[#This Row],[semana]]&amp;"|"&amp;tblAsignaciones[[#This Row],[dia]]&amp;"|"&amp;tblAsignaciones[[#This Row],[tecnico]]</f>
        <v/>
      </c>
      <c r="N52" s="3">
        <f>_xlfn.XLOOKUP(tblAsignaciones[[#This Row],[turno]],tblTurnos[turno],tblTurnos[hora_inicio],"")</f>
        <v/>
      </c>
      <c r="O52" s="3">
        <f>_xlfn.XLOOKUP(tblAsignaciones[[#This Row],[turno]],tblTurnos[turno],tblTurnos[hora_fin],"")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3">
        <f>COUNTIFS(tblTecnicos[rotativo],"SI",tblTecnicos[especialidad],tblAsignaciones[[#This Row],[especialidad]],tblTecnicos[area],tblAsignaciones[[#This Row],[area]])</f>
        <v/>
      </c>
      <c r="G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6" t="n"/>
      <c r="I53" s="3">
        <f>IF(tblAsignaciones[[#This Row],[turno_manual]]&lt;&gt;"",tblAsignaciones[[#This Row],[turno_manual]],IF(LEFT(tblAsignaciones[[#This Row],[posicion_ciclo]],1)="B","B",tblAsignaciones[[#This Row],[posicion_ciclo]]))</f>
        <v/>
      </c>
      <c r="J53" s="3">
        <f>_xlfn.XLOOKUP(tblAsignaciones[[#This Row],[tecnico]],tblTecnicos[nombre],tblTecnicos[coordinador],"")</f>
        <v/>
      </c>
      <c r="K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3" s="3">
        <f>tblAsignaciones[[#This Row],[semana]]&amp;"|"&amp;tblAsignaciones[[#This Row],[dia]]&amp;"|"&amp;tblAsignaciones[[#This Row],[tecnico]]</f>
        <v/>
      </c>
      <c r="N53" s="3">
        <f>_xlfn.XLOOKUP(tblAsignaciones[[#This Row],[turno]],tblTurnos[turno],tblTurnos[hora_inicio],"")</f>
        <v/>
      </c>
      <c r="O53" s="3">
        <f>_xlfn.XLOOKUP(tblAsignaciones[[#This Row],[turno]],tblTurnos[turno],tblTurnos[hora_fin],"")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3">
        <f>COUNTIFS(tblTecnicos[rotativo],"SI",tblTecnicos[especialidad],tblAsignaciones[[#This Row],[especialidad]],tblTecnicos[area],tblAsignaciones[[#This Row],[area]])</f>
        <v/>
      </c>
      <c r="G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6" t="n"/>
      <c r="I54" s="3">
        <f>IF(tblAsignaciones[[#This Row],[turno_manual]]&lt;&gt;"",tblAsignaciones[[#This Row],[turno_manual]],IF(LEFT(tblAsignaciones[[#This Row],[posicion_ciclo]],1)="B","B",tblAsignaciones[[#This Row],[posicion_ciclo]]))</f>
        <v/>
      </c>
      <c r="J54" s="3">
        <f>_xlfn.XLOOKUP(tblAsignaciones[[#This Row],[tecnico]],tblTecnicos[nombre],tblTecnicos[coordinador],"")</f>
        <v/>
      </c>
      <c r="K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4" s="3">
        <f>tblAsignaciones[[#This Row],[semana]]&amp;"|"&amp;tblAsignaciones[[#This Row],[dia]]&amp;"|"&amp;tblAsignaciones[[#This Row],[tecnico]]</f>
        <v/>
      </c>
      <c r="N54" s="3">
        <f>_xlfn.XLOOKUP(tblAsignaciones[[#This Row],[turno]],tblTurnos[turno],tblTurnos[hora_inicio],"")</f>
        <v/>
      </c>
      <c r="O54" s="3">
        <f>_xlfn.XLOOKUP(tblAsignaciones[[#This Row],[turno]],tblTurnos[turno],tblTurnos[hora_fin],"")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3">
        <f>COUNTIFS(tblTecnicos[rotativo],"SI",tblTecnicos[especialidad],tblAsignaciones[[#This Row],[especialidad]],tblTecnicos[area],tblAsignaciones[[#This Row],[area]])</f>
        <v/>
      </c>
      <c r="G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6" t="n"/>
      <c r="I55" s="3">
        <f>IF(tblAsignaciones[[#This Row],[turno_manual]]&lt;&gt;"",tblAsignaciones[[#This Row],[turno_manual]],IF(LEFT(tblAsignaciones[[#This Row],[posicion_ciclo]],1)="B","B",tblAsignaciones[[#This Row],[posicion_ciclo]]))</f>
        <v/>
      </c>
      <c r="J55" s="3">
        <f>_xlfn.XLOOKUP(tblAsignaciones[[#This Row],[tecnico]],tblTecnicos[nombre],tblTecnicos[coordinador],"")</f>
        <v/>
      </c>
      <c r="K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5" s="3">
        <f>tblAsignaciones[[#This Row],[semana]]&amp;"|"&amp;tblAsignaciones[[#This Row],[dia]]&amp;"|"&amp;tblAsignaciones[[#This Row],[tecnico]]</f>
        <v/>
      </c>
      <c r="N55" s="3">
        <f>_xlfn.XLOOKUP(tblAsignaciones[[#This Row],[turno]],tblTurnos[turno],tblTurnos[hora_inicio],"")</f>
        <v/>
      </c>
      <c r="O55" s="3">
        <f>_xlfn.XLOOKUP(tblAsignaciones[[#This Row],[turno]],tblTurnos[turno],tblTurnos[hora_fin],"")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3">
        <f>COUNTIFS(tblTecnicos[rotativo],"SI",tblTecnicos[especialidad],tblAsignaciones[[#This Row],[especialidad]],tblTecnicos[area],tblAsignaciones[[#This Row],[area]])</f>
        <v/>
      </c>
      <c r="G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6" t="n"/>
      <c r="I56" s="3">
        <f>IF(tblAsignaciones[[#This Row],[turno_manual]]&lt;&gt;"",tblAsignaciones[[#This Row],[turno_manual]],IF(LEFT(tblAsignaciones[[#This Row],[posicion_ciclo]],1)="B","B",tblAsignaciones[[#This Row],[posicion_ciclo]]))</f>
        <v/>
      </c>
      <c r="J56" s="3">
        <f>_xlfn.XLOOKUP(tblAsignaciones[[#This Row],[tecnico]],tblTecnicos[nombre],tblTecnicos[coordinador],"")</f>
        <v/>
      </c>
      <c r="K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6" s="3">
        <f>tblAsignaciones[[#This Row],[semana]]&amp;"|"&amp;tblAsignaciones[[#This Row],[dia]]&amp;"|"&amp;tblAsignaciones[[#This Row],[tecnico]]</f>
        <v/>
      </c>
      <c r="N56" s="3">
        <f>_xlfn.XLOOKUP(tblAsignaciones[[#This Row],[turno]],tblTurnos[turno],tblTurnos[hora_inicio],"")</f>
        <v/>
      </c>
      <c r="O56" s="3">
        <f>_xlfn.XLOOKUP(tblAsignaciones[[#This Row],[turno]],tblTurnos[turno],tblTurnos[hora_fin],"")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3">
        <f>COUNTIFS(tblTecnicos[rotativo],"SI",tblTecnicos[especialidad],tblAsignaciones[[#This Row],[especialidad]],tblTecnicos[area],tblAsignaciones[[#This Row],[area]])</f>
        <v/>
      </c>
      <c r="G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6" t="n"/>
      <c r="I57" s="3">
        <f>IF(tblAsignaciones[[#This Row],[turno_manual]]&lt;&gt;"",tblAsignaciones[[#This Row],[turno_manual]],IF(LEFT(tblAsignaciones[[#This Row],[posicion_ciclo]],1)="B","B",tblAsignaciones[[#This Row],[posicion_ciclo]]))</f>
        <v/>
      </c>
      <c r="J57" s="3">
        <f>_xlfn.XLOOKUP(tblAsignaciones[[#This Row],[tecnico]],tblTecnicos[nombre],tblTecnicos[coordinador],"")</f>
        <v/>
      </c>
      <c r="K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7" s="3">
        <f>tblAsignaciones[[#This Row],[semana]]&amp;"|"&amp;tblAsignaciones[[#This Row],[dia]]&amp;"|"&amp;tblAsignaciones[[#This Row],[tecnico]]</f>
        <v/>
      </c>
      <c r="N57" s="3">
        <f>_xlfn.XLOOKUP(tblAsignaciones[[#This Row],[turno]],tblTurnos[turno],tblTurnos[hora_inicio],"")</f>
        <v/>
      </c>
      <c r="O57" s="3">
        <f>_xlfn.XLOOKUP(tblAsignaciones[[#This Row],[turno]],tblTurnos[turno],tblTurnos[hora_fin],"")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3">
        <f>COUNTIFS(tblTecnicos[rotativo],"SI",tblTecnicos[especialidad],tblAsignaciones[[#This Row],[especialidad]],tblTecnicos[area],tblAsignaciones[[#This Row],[area]])</f>
        <v/>
      </c>
      <c r="G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6" t="n"/>
      <c r="I58" s="3">
        <f>IF(tblAsignaciones[[#This Row],[turno_manual]]&lt;&gt;"",tblAsignaciones[[#This Row],[turno_manual]],IF(LEFT(tblAsignaciones[[#This Row],[posicion_ciclo]],1)="B","B",tblAsignaciones[[#This Row],[posicion_ciclo]]))</f>
        <v/>
      </c>
      <c r="J58" s="3">
        <f>_xlfn.XLOOKUP(tblAsignaciones[[#This Row],[tecnico]],tblTecnicos[nombre],tblTecnicos[coordinador],"")</f>
        <v/>
      </c>
      <c r="K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8" s="3">
        <f>tblAsignaciones[[#This Row],[semana]]&amp;"|"&amp;tblAsignaciones[[#This Row],[dia]]&amp;"|"&amp;tblAsignaciones[[#This Row],[tecnico]]</f>
        <v/>
      </c>
      <c r="N58" s="3">
        <f>_xlfn.XLOOKUP(tblAsignaciones[[#This Row],[turno]],tblTurnos[turno],tblTurnos[hora_inicio],"")</f>
        <v/>
      </c>
      <c r="O58" s="3">
        <f>_xlfn.XLOOKUP(tblAsignaciones[[#This Row],[turno]],tblTurnos[turno],tblTurnos[hora_fin],"")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3">
        <f>COUNTIFS(tblTecnicos[rotativo],"SI",tblTecnicos[especialidad],tblAsignaciones[[#This Row],[especialidad]],tblTecnicos[area],tblAsignaciones[[#This Row],[area]])</f>
        <v/>
      </c>
      <c r="G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6" t="n"/>
      <c r="I59" s="3">
        <f>IF(tblAsignaciones[[#This Row],[turno_manual]]&lt;&gt;"",tblAsignaciones[[#This Row],[turno_manual]],IF(LEFT(tblAsignaciones[[#This Row],[posicion_ciclo]],1)="B","B",tblAsignaciones[[#This Row],[posicion_ciclo]]))</f>
        <v/>
      </c>
      <c r="J59" s="3">
        <f>_xlfn.XLOOKUP(tblAsignaciones[[#This Row],[tecnico]],tblTecnicos[nombre],tblTecnicos[coordinador],"")</f>
        <v/>
      </c>
      <c r="K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59" s="3">
        <f>tblAsignaciones[[#This Row],[semana]]&amp;"|"&amp;tblAsignaciones[[#This Row],[dia]]&amp;"|"&amp;tblAsignaciones[[#This Row],[tecnico]]</f>
        <v/>
      </c>
      <c r="N59" s="3">
        <f>_xlfn.XLOOKUP(tblAsignaciones[[#This Row],[turno]],tblTurnos[turno],tblTurnos[hora_inicio],"")</f>
        <v/>
      </c>
      <c r="O59" s="3">
        <f>_xlfn.XLOOKUP(tblAsignaciones[[#This Row],[turno]],tblTurnos[turno],tblTurnos[hora_fin],"")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3">
        <f>COUNTIFS(tblTecnicos[rotativo],"SI",tblTecnicos[especialidad],tblAsignaciones[[#This Row],[especialidad]],tblTecnicos[area],tblAsignaciones[[#This Row],[area]])</f>
        <v/>
      </c>
      <c r="G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6" t="n"/>
      <c r="I60" s="3">
        <f>IF(tblAsignaciones[[#This Row],[turno_manual]]&lt;&gt;"",tblAsignaciones[[#This Row],[turno_manual]],IF(LEFT(tblAsignaciones[[#This Row],[posicion_ciclo]],1)="B","B",tblAsignaciones[[#This Row],[posicion_ciclo]]))</f>
        <v/>
      </c>
      <c r="J60" s="3">
        <f>_xlfn.XLOOKUP(tblAsignaciones[[#This Row],[tecnico]],tblTecnicos[nombre],tblTecnicos[coordinador],"")</f>
        <v/>
      </c>
      <c r="K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0" s="3">
        <f>tblAsignaciones[[#This Row],[semana]]&amp;"|"&amp;tblAsignaciones[[#This Row],[dia]]&amp;"|"&amp;tblAsignaciones[[#This Row],[tecnico]]</f>
        <v/>
      </c>
      <c r="N60" s="3">
        <f>_xlfn.XLOOKUP(tblAsignaciones[[#This Row],[turno]],tblTurnos[turno],tblTurnos[hora_inicio],"")</f>
        <v/>
      </c>
      <c r="O60" s="3">
        <f>_xlfn.XLOOKUP(tblAsignaciones[[#This Row],[turno]],tblTurnos[turno],tblTurnos[hora_fin],"")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3">
        <f>COUNTIFS(tblTecnicos[rotativo],"SI",tblTecnicos[especialidad],tblAsignaciones[[#This Row],[especialidad]],tblTecnicos[area],tblAsignaciones[[#This Row],[area]])</f>
        <v/>
      </c>
      <c r="G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6" t="n"/>
      <c r="I61" s="3">
        <f>IF(tblAsignaciones[[#This Row],[turno_manual]]&lt;&gt;"",tblAsignaciones[[#This Row],[turno_manual]],IF(LEFT(tblAsignaciones[[#This Row],[posicion_ciclo]],1)="B","B",tblAsignaciones[[#This Row],[posicion_ciclo]]))</f>
        <v/>
      </c>
      <c r="J61" s="3">
        <f>_xlfn.XLOOKUP(tblAsignaciones[[#This Row],[tecnico]],tblTecnicos[nombre],tblTecnicos[coordinador],"")</f>
        <v/>
      </c>
      <c r="K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1" s="3">
        <f>tblAsignaciones[[#This Row],[semana]]&amp;"|"&amp;tblAsignaciones[[#This Row],[dia]]&amp;"|"&amp;tblAsignaciones[[#This Row],[tecnico]]</f>
        <v/>
      </c>
      <c r="N61" s="3">
        <f>_xlfn.XLOOKUP(tblAsignaciones[[#This Row],[turno]],tblTurnos[turno],tblTurnos[hora_inicio],"")</f>
        <v/>
      </c>
      <c r="O61" s="3">
        <f>_xlfn.XLOOKUP(tblAsignaciones[[#This Row],[turno]],tblTurnos[turno],tblTurnos[hora_fin],"")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3">
        <f>COUNTIFS(tblTecnicos[rotativo],"SI",tblTecnicos[especialidad],tblAsignaciones[[#This Row],[especialidad]],tblTecnicos[area],tblAsignaciones[[#This Row],[area]])</f>
        <v/>
      </c>
      <c r="G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6" t="n"/>
      <c r="I62" s="3">
        <f>IF(tblAsignaciones[[#This Row],[turno_manual]]&lt;&gt;"",tblAsignaciones[[#This Row],[turno_manual]],IF(LEFT(tblAsignaciones[[#This Row],[posicion_ciclo]],1)="B","B",tblAsignaciones[[#This Row],[posicion_ciclo]]))</f>
        <v/>
      </c>
      <c r="J62" s="3">
        <f>_xlfn.XLOOKUP(tblAsignaciones[[#This Row],[tecnico]],tblTecnicos[nombre],tblTecnicos[coordinador],"")</f>
        <v/>
      </c>
      <c r="K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2" s="3">
        <f>tblAsignaciones[[#This Row],[semana]]&amp;"|"&amp;tblAsignaciones[[#This Row],[dia]]&amp;"|"&amp;tblAsignaciones[[#This Row],[tecnico]]</f>
        <v/>
      </c>
      <c r="N62" s="3">
        <f>_xlfn.XLOOKUP(tblAsignaciones[[#This Row],[turno]],tblTurnos[turno],tblTurnos[hora_inicio],"")</f>
        <v/>
      </c>
      <c r="O62" s="3">
        <f>_xlfn.XLOOKUP(tblAsignaciones[[#This Row],[turno]],tblTurnos[turno],tblTurnos[hora_fin],"")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3">
        <f>COUNTIFS(tblTecnicos[rotativo],"SI",tblTecnicos[especialidad],tblAsignaciones[[#This Row],[especialidad]],tblTecnicos[area],tblAsignaciones[[#This Row],[area]])</f>
        <v/>
      </c>
      <c r="G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6" t="n"/>
      <c r="I63" s="3">
        <f>IF(tblAsignaciones[[#This Row],[turno_manual]]&lt;&gt;"",tblAsignaciones[[#This Row],[turno_manual]],IF(LEFT(tblAsignaciones[[#This Row],[posicion_ciclo]],1)="B","B",tblAsignaciones[[#This Row],[posicion_ciclo]]))</f>
        <v/>
      </c>
      <c r="J63" s="3">
        <f>_xlfn.XLOOKUP(tblAsignaciones[[#This Row],[tecnico]],tblTecnicos[nombre],tblTecnicos[coordinador],"")</f>
        <v/>
      </c>
      <c r="K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3" s="3">
        <f>tblAsignaciones[[#This Row],[semana]]&amp;"|"&amp;tblAsignaciones[[#This Row],[dia]]&amp;"|"&amp;tblAsignaciones[[#This Row],[tecnico]]</f>
        <v/>
      </c>
      <c r="N63" s="3">
        <f>_xlfn.XLOOKUP(tblAsignaciones[[#This Row],[turno]],tblTurnos[turno],tblTurnos[hora_inicio],"")</f>
        <v/>
      </c>
      <c r="O63" s="3">
        <f>_xlfn.XLOOKUP(tblAsignaciones[[#This Row],[turno]],tblTurnos[turno],tblTurnos[hora_fin],"")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3">
        <f>COUNTIFS(tblTecnicos[rotativo],"SI",tblTecnicos[especialidad],tblAsignaciones[[#This Row],[especialidad]],tblTecnicos[area],tblAsignaciones[[#This Row],[area]])</f>
        <v/>
      </c>
      <c r="G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6" t="n"/>
      <c r="I64" s="3">
        <f>IF(tblAsignaciones[[#This Row],[turno_manual]]&lt;&gt;"",tblAsignaciones[[#This Row],[turno_manual]],IF(LEFT(tblAsignaciones[[#This Row],[posicion_ciclo]],1)="B","B",tblAsignaciones[[#This Row],[posicion_ciclo]]))</f>
        <v/>
      </c>
      <c r="J64" s="3">
        <f>_xlfn.XLOOKUP(tblAsignaciones[[#This Row],[tecnico]],tblTecnicos[nombre],tblTecnicos[coordinador],"")</f>
        <v/>
      </c>
      <c r="K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4" s="3">
        <f>tblAsignaciones[[#This Row],[semana]]&amp;"|"&amp;tblAsignaciones[[#This Row],[dia]]&amp;"|"&amp;tblAsignaciones[[#This Row],[tecnico]]</f>
        <v/>
      </c>
      <c r="N64" s="3">
        <f>_xlfn.XLOOKUP(tblAsignaciones[[#This Row],[turno]],tblTurnos[turno],tblTurnos[hora_inicio],"")</f>
        <v/>
      </c>
      <c r="O64" s="3">
        <f>_xlfn.XLOOKUP(tblAsignaciones[[#This Row],[turno]],tblTurnos[turno],tblTurnos[hora_fin],"")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3">
        <f>COUNTIFS(tblTecnicos[rotativo],"SI",tblTecnicos[especialidad],tblAsignaciones[[#This Row],[especialidad]],tblTecnicos[area],tblAsignaciones[[#This Row],[area]])</f>
        <v/>
      </c>
      <c r="G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6" t="n"/>
      <c r="I65" s="3">
        <f>IF(tblAsignaciones[[#This Row],[turno_manual]]&lt;&gt;"",tblAsignaciones[[#This Row],[turno_manual]],IF(LEFT(tblAsignaciones[[#This Row],[posicion_ciclo]],1)="B","B",tblAsignaciones[[#This Row],[posicion_ciclo]]))</f>
        <v/>
      </c>
      <c r="J65" s="3">
        <f>_xlfn.XLOOKUP(tblAsignaciones[[#This Row],[tecnico]],tblTecnicos[nombre],tblTecnicos[coordinador],"")</f>
        <v/>
      </c>
      <c r="K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5" s="3">
        <f>tblAsignaciones[[#This Row],[semana]]&amp;"|"&amp;tblAsignaciones[[#This Row],[dia]]&amp;"|"&amp;tblAsignaciones[[#This Row],[tecnico]]</f>
        <v/>
      </c>
      <c r="N65" s="3">
        <f>_xlfn.XLOOKUP(tblAsignaciones[[#This Row],[turno]],tblTurnos[turno],tblTurnos[hora_inicio],"")</f>
        <v/>
      </c>
      <c r="O65" s="3">
        <f>_xlfn.XLOOKUP(tblAsignaciones[[#This Row],[turno]],tblTurnos[turno],tblTurnos[hora_fin],"")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3">
        <f>COUNTIFS(tblTecnicos[rotativo],"SI",tblTecnicos[especialidad],tblAsignaciones[[#This Row],[especialidad]],tblTecnicos[area],tblAsignaciones[[#This Row],[area]])</f>
        <v/>
      </c>
      <c r="G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6" t="n"/>
      <c r="I66" s="3">
        <f>IF(tblAsignaciones[[#This Row],[turno_manual]]&lt;&gt;"",tblAsignaciones[[#This Row],[turno_manual]],IF(LEFT(tblAsignaciones[[#This Row],[posicion_ciclo]],1)="B","B",tblAsignaciones[[#This Row],[posicion_ciclo]]))</f>
        <v/>
      </c>
      <c r="J66" s="3">
        <f>_xlfn.XLOOKUP(tblAsignaciones[[#This Row],[tecnico]],tblTecnicos[nombre],tblTecnicos[coordinador],"")</f>
        <v/>
      </c>
      <c r="K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6" s="3">
        <f>tblAsignaciones[[#This Row],[semana]]&amp;"|"&amp;tblAsignaciones[[#This Row],[dia]]&amp;"|"&amp;tblAsignaciones[[#This Row],[tecnico]]</f>
        <v/>
      </c>
      <c r="N66" s="3">
        <f>_xlfn.XLOOKUP(tblAsignaciones[[#This Row],[turno]],tblTurnos[turno],tblTurnos[hora_inicio],"")</f>
        <v/>
      </c>
      <c r="O66" s="3">
        <f>_xlfn.XLOOKUP(tblAsignaciones[[#This Row],[turno]],tblTurnos[turno],tblTurnos[hora_fin],"")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3">
        <f>COUNTIFS(tblTecnicos[rotativo],"SI",tblTecnicos[especialidad],tblAsignaciones[[#This Row],[especialidad]],tblTecnicos[area],tblAsignaciones[[#This Row],[area]])</f>
        <v/>
      </c>
      <c r="G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6" t="n"/>
      <c r="I67" s="3">
        <f>IF(tblAsignaciones[[#This Row],[turno_manual]]&lt;&gt;"",tblAsignaciones[[#This Row],[turno_manual]],IF(LEFT(tblAsignaciones[[#This Row],[posicion_ciclo]],1)="B","B",tblAsignaciones[[#This Row],[posicion_ciclo]]))</f>
        <v/>
      </c>
      <c r="J67" s="3">
        <f>_xlfn.XLOOKUP(tblAsignaciones[[#This Row],[tecnico]],tblTecnicos[nombre],tblTecnicos[coordinador],"")</f>
        <v/>
      </c>
      <c r="K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7" s="3">
        <f>tblAsignaciones[[#This Row],[semana]]&amp;"|"&amp;tblAsignaciones[[#This Row],[dia]]&amp;"|"&amp;tblAsignaciones[[#This Row],[tecnico]]</f>
        <v/>
      </c>
      <c r="N67" s="3">
        <f>_xlfn.XLOOKUP(tblAsignaciones[[#This Row],[turno]],tblTurnos[turno],tblTurnos[hora_inicio],"")</f>
        <v/>
      </c>
      <c r="O67" s="3">
        <f>_xlfn.XLOOKUP(tblAsignaciones[[#This Row],[turno]],tblTurnos[turno],tblTurnos[hora_fin],"")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3">
        <f>COUNTIFS(tblTecnicos[rotativo],"SI",tblTecnicos[especialidad],tblAsignaciones[[#This Row],[especialidad]],tblTecnicos[area],tblAsignaciones[[#This Row],[area]])</f>
        <v/>
      </c>
      <c r="G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6" t="n"/>
      <c r="I68" s="3">
        <f>IF(tblAsignaciones[[#This Row],[turno_manual]]&lt;&gt;"",tblAsignaciones[[#This Row],[turno_manual]],IF(LEFT(tblAsignaciones[[#This Row],[posicion_ciclo]],1)="B","B",tblAsignaciones[[#This Row],[posicion_ciclo]]))</f>
        <v/>
      </c>
      <c r="J68" s="3">
        <f>_xlfn.XLOOKUP(tblAsignaciones[[#This Row],[tecnico]],tblTecnicos[nombre],tblTecnicos[coordinador],"")</f>
        <v/>
      </c>
      <c r="K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8" s="3">
        <f>tblAsignaciones[[#This Row],[semana]]&amp;"|"&amp;tblAsignaciones[[#This Row],[dia]]&amp;"|"&amp;tblAsignaciones[[#This Row],[tecnico]]</f>
        <v/>
      </c>
      <c r="N68" s="3">
        <f>_xlfn.XLOOKUP(tblAsignaciones[[#This Row],[turno]],tblTurnos[turno],tblTurnos[hora_inicio],"")</f>
        <v/>
      </c>
      <c r="O68" s="3">
        <f>_xlfn.XLOOKUP(tblAsignaciones[[#This Row],[turno]],tblTurnos[turno],tblTurnos[hora_fin],"")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3">
        <f>COUNTIFS(tblTecnicos[rotativo],"SI",tblTecnicos[especialidad],tblAsignaciones[[#This Row],[especialidad]],tblTecnicos[area],tblAsignaciones[[#This Row],[area]])</f>
        <v/>
      </c>
      <c r="G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6" t="n"/>
      <c r="I69" s="3">
        <f>IF(tblAsignaciones[[#This Row],[turno_manual]]&lt;&gt;"",tblAsignaciones[[#This Row],[turno_manual]],IF(LEFT(tblAsignaciones[[#This Row],[posicion_ciclo]],1)="B","B",tblAsignaciones[[#This Row],[posicion_ciclo]]))</f>
        <v/>
      </c>
      <c r="J69" s="3">
        <f>_xlfn.XLOOKUP(tblAsignaciones[[#This Row],[tecnico]],tblTecnicos[nombre],tblTecnicos[coordinador],"")</f>
        <v/>
      </c>
      <c r="K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69" s="3">
        <f>tblAsignaciones[[#This Row],[semana]]&amp;"|"&amp;tblAsignaciones[[#This Row],[dia]]&amp;"|"&amp;tblAsignaciones[[#This Row],[tecnico]]</f>
        <v/>
      </c>
      <c r="N69" s="3">
        <f>_xlfn.XLOOKUP(tblAsignaciones[[#This Row],[turno]],tblTurnos[turno],tblTurnos[hora_inicio],"")</f>
        <v/>
      </c>
      <c r="O69" s="3">
        <f>_xlfn.XLOOKUP(tblAsignaciones[[#This Row],[turno]],tblTurnos[turno],tblTurnos[hora_fin],"")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3">
        <f>COUNTIFS(tblTecnicos[rotativo],"SI",tblTecnicos[especialidad],tblAsignaciones[[#This Row],[especialidad]],tblTecnicos[area],tblAsignaciones[[#This Row],[area]])</f>
        <v/>
      </c>
      <c r="G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6" t="n"/>
      <c r="I70" s="3">
        <f>IF(tblAsignaciones[[#This Row],[turno_manual]]&lt;&gt;"",tblAsignaciones[[#This Row],[turno_manual]],IF(LEFT(tblAsignaciones[[#This Row],[posicion_ciclo]],1)="B","B",tblAsignaciones[[#This Row],[posicion_ciclo]]))</f>
        <v/>
      </c>
      <c r="J70" s="3">
        <f>_xlfn.XLOOKUP(tblAsignaciones[[#This Row],[tecnico]],tblTecnicos[nombre],tblTecnicos[coordinador],"")</f>
        <v/>
      </c>
      <c r="K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0" s="3">
        <f>tblAsignaciones[[#This Row],[semana]]&amp;"|"&amp;tblAsignaciones[[#This Row],[dia]]&amp;"|"&amp;tblAsignaciones[[#This Row],[tecnico]]</f>
        <v/>
      </c>
      <c r="N70" s="3">
        <f>_xlfn.XLOOKUP(tblAsignaciones[[#This Row],[turno]],tblTurnos[turno],tblTurnos[hora_inicio],"")</f>
        <v/>
      </c>
      <c r="O70" s="3">
        <f>_xlfn.XLOOKUP(tblAsignaciones[[#This Row],[turno]],tblTurnos[turno],tblTurnos[hora_fin],"")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3">
        <f>COUNTIFS(tblTecnicos[rotativo],"SI",tblTecnicos[especialidad],tblAsignaciones[[#This Row],[especialidad]],tblTecnicos[area],tblAsignaciones[[#This Row],[area]])</f>
        <v/>
      </c>
      <c r="G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6" t="n"/>
      <c r="I71" s="3">
        <f>IF(tblAsignaciones[[#This Row],[turno_manual]]&lt;&gt;"",tblAsignaciones[[#This Row],[turno_manual]],IF(LEFT(tblAsignaciones[[#This Row],[posicion_ciclo]],1)="B","B",tblAsignaciones[[#This Row],[posicion_ciclo]]))</f>
        <v/>
      </c>
      <c r="J71" s="3">
        <f>_xlfn.XLOOKUP(tblAsignaciones[[#This Row],[tecnico]],tblTecnicos[nombre],tblTecnicos[coordinador],"")</f>
        <v/>
      </c>
      <c r="K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1" s="3">
        <f>tblAsignaciones[[#This Row],[semana]]&amp;"|"&amp;tblAsignaciones[[#This Row],[dia]]&amp;"|"&amp;tblAsignaciones[[#This Row],[tecnico]]</f>
        <v/>
      </c>
      <c r="N71" s="3">
        <f>_xlfn.XLOOKUP(tblAsignaciones[[#This Row],[turno]],tblTurnos[turno],tblTurnos[hora_inicio],"")</f>
        <v/>
      </c>
      <c r="O71" s="3">
        <f>_xlfn.XLOOKUP(tblAsignaciones[[#This Row],[turno]],tblTurnos[turno],tblTurnos[hora_fin],"")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3">
        <f>COUNTIFS(tblTecnicos[rotativo],"SI",tblTecnicos[especialidad],tblAsignaciones[[#This Row],[especialidad]],tblTecnicos[area],tblAsignaciones[[#This Row],[area]])</f>
        <v/>
      </c>
      <c r="G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6" t="n"/>
      <c r="I72" s="3">
        <f>IF(tblAsignaciones[[#This Row],[turno_manual]]&lt;&gt;"",tblAsignaciones[[#This Row],[turno_manual]],IF(LEFT(tblAsignaciones[[#This Row],[posicion_ciclo]],1)="B","B",tblAsignaciones[[#This Row],[posicion_ciclo]]))</f>
        <v/>
      </c>
      <c r="J72" s="3">
        <f>_xlfn.XLOOKUP(tblAsignaciones[[#This Row],[tecnico]],tblTecnicos[nombre],tblTecnicos[coordinador],"")</f>
        <v/>
      </c>
      <c r="K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2" s="3">
        <f>tblAsignaciones[[#This Row],[semana]]&amp;"|"&amp;tblAsignaciones[[#This Row],[dia]]&amp;"|"&amp;tblAsignaciones[[#This Row],[tecnico]]</f>
        <v/>
      </c>
      <c r="N72" s="3">
        <f>_xlfn.XLOOKUP(tblAsignaciones[[#This Row],[turno]],tblTurnos[turno],tblTurnos[hora_inicio],"")</f>
        <v/>
      </c>
      <c r="O72" s="3">
        <f>_xlfn.XLOOKUP(tblAsignaciones[[#This Row],[turno]],tblTurnos[turno],tblTurnos[hora_fin],"")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3">
        <f>COUNTIFS(tblTecnicos[rotativo],"SI",tblTecnicos[especialidad],tblAsignaciones[[#This Row],[especialidad]],tblTecnicos[area],tblAsignaciones[[#This Row],[area]])</f>
        <v/>
      </c>
      <c r="G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6" t="n"/>
      <c r="I73" s="3">
        <f>IF(tblAsignaciones[[#This Row],[turno_manual]]&lt;&gt;"",tblAsignaciones[[#This Row],[turno_manual]],IF(LEFT(tblAsignaciones[[#This Row],[posicion_ciclo]],1)="B","B",tblAsignaciones[[#This Row],[posicion_ciclo]]))</f>
        <v/>
      </c>
      <c r="J73" s="3">
        <f>_xlfn.XLOOKUP(tblAsignaciones[[#This Row],[tecnico]],tblTecnicos[nombre],tblTecnicos[coordinador],"")</f>
        <v/>
      </c>
      <c r="K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3" s="3">
        <f>tblAsignaciones[[#This Row],[semana]]&amp;"|"&amp;tblAsignaciones[[#This Row],[dia]]&amp;"|"&amp;tblAsignaciones[[#This Row],[tecnico]]</f>
        <v/>
      </c>
      <c r="N73" s="3">
        <f>_xlfn.XLOOKUP(tblAsignaciones[[#This Row],[turno]],tblTurnos[turno],tblTurnos[hora_inicio],"")</f>
        <v/>
      </c>
      <c r="O73" s="3">
        <f>_xlfn.XLOOKUP(tblAsignaciones[[#This Row],[turno]],tblTurnos[turno],tblTurnos[hora_fin],"")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3">
        <f>COUNTIFS(tblTecnicos[rotativo],"SI",tblTecnicos[especialidad],tblAsignaciones[[#This Row],[especialidad]],tblTecnicos[area],tblAsignaciones[[#This Row],[area]])</f>
        <v/>
      </c>
      <c r="G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6" t="n"/>
      <c r="I74" s="3">
        <f>IF(tblAsignaciones[[#This Row],[turno_manual]]&lt;&gt;"",tblAsignaciones[[#This Row],[turno_manual]],IF(LEFT(tblAsignaciones[[#This Row],[posicion_ciclo]],1)="B","B",tblAsignaciones[[#This Row],[posicion_ciclo]]))</f>
        <v/>
      </c>
      <c r="J74" s="3">
        <f>_xlfn.XLOOKUP(tblAsignaciones[[#This Row],[tecnico]],tblTecnicos[nombre],tblTecnicos[coordinador],"")</f>
        <v/>
      </c>
      <c r="K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4" s="3">
        <f>tblAsignaciones[[#This Row],[semana]]&amp;"|"&amp;tblAsignaciones[[#This Row],[dia]]&amp;"|"&amp;tblAsignaciones[[#This Row],[tecnico]]</f>
        <v/>
      </c>
      <c r="N74" s="3">
        <f>_xlfn.XLOOKUP(tblAsignaciones[[#This Row],[turno]],tblTurnos[turno],tblTurnos[hora_inicio],"")</f>
        <v/>
      </c>
      <c r="O74" s="3">
        <f>_xlfn.XLOOKUP(tblAsignaciones[[#This Row],[turno]],tblTurnos[turno],tblTurnos[hora_fin],"")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3">
        <f>COUNTIFS(tblTecnicos[rotativo],"SI",tblTecnicos[especialidad],tblAsignaciones[[#This Row],[especialidad]],tblTecnicos[area],tblAsignaciones[[#This Row],[area]])</f>
        <v/>
      </c>
      <c r="G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6" t="n"/>
      <c r="I75" s="3">
        <f>IF(tblAsignaciones[[#This Row],[turno_manual]]&lt;&gt;"",tblAsignaciones[[#This Row],[turno_manual]],IF(LEFT(tblAsignaciones[[#This Row],[posicion_ciclo]],1)="B","B",tblAsignaciones[[#This Row],[posicion_ciclo]]))</f>
        <v/>
      </c>
      <c r="J75" s="3">
        <f>_xlfn.XLOOKUP(tblAsignaciones[[#This Row],[tecnico]],tblTecnicos[nombre],tblTecnicos[coordinador],"")</f>
        <v/>
      </c>
      <c r="K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5" s="3">
        <f>tblAsignaciones[[#This Row],[semana]]&amp;"|"&amp;tblAsignaciones[[#This Row],[dia]]&amp;"|"&amp;tblAsignaciones[[#This Row],[tecnico]]</f>
        <v/>
      </c>
      <c r="N75" s="3">
        <f>_xlfn.XLOOKUP(tblAsignaciones[[#This Row],[turno]],tblTurnos[turno],tblTurnos[hora_inicio],"")</f>
        <v/>
      </c>
      <c r="O75" s="3">
        <f>_xlfn.XLOOKUP(tblAsignaciones[[#This Row],[turno]],tblTurnos[turno],tblTurnos[hora_fin],"")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3">
        <f>COUNTIFS(tblTecnicos[rotativo],"SI",tblTecnicos[especialidad],tblAsignaciones[[#This Row],[especialidad]],tblTecnicos[area],tblAsignaciones[[#This Row],[area]])</f>
        <v/>
      </c>
      <c r="G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6" t="n"/>
      <c r="I76" s="3">
        <f>IF(tblAsignaciones[[#This Row],[turno_manual]]&lt;&gt;"",tblAsignaciones[[#This Row],[turno_manual]],IF(LEFT(tblAsignaciones[[#This Row],[posicion_ciclo]],1)="B","B",tblAsignaciones[[#This Row],[posicion_ciclo]]))</f>
        <v/>
      </c>
      <c r="J76" s="3">
        <f>_xlfn.XLOOKUP(tblAsignaciones[[#This Row],[tecnico]],tblTecnicos[nombre],tblTecnicos[coordinador],"")</f>
        <v/>
      </c>
      <c r="K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6" s="3">
        <f>tblAsignaciones[[#This Row],[semana]]&amp;"|"&amp;tblAsignaciones[[#This Row],[dia]]&amp;"|"&amp;tblAsignaciones[[#This Row],[tecnico]]</f>
        <v/>
      </c>
      <c r="N76" s="3">
        <f>_xlfn.XLOOKUP(tblAsignaciones[[#This Row],[turno]],tblTurnos[turno],tblTurnos[hora_inicio],"")</f>
        <v/>
      </c>
      <c r="O76" s="3">
        <f>_xlfn.XLOOKUP(tblAsignaciones[[#This Row],[turno]],tblTurnos[turno],tblTurnos[hora_fin],"")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3">
        <f>COUNTIFS(tblTecnicos[rotativo],"SI",tblTecnicos[especialidad],tblAsignaciones[[#This Row],[especialidad]],tblTecnicos[area],tblAsignaciones[[#This Row],[area]])</f>
        <v/>
      </c>
      <c r="G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6" t="n"/>
      <c r="I77" s="3">
        <f>IF(tblAsignaciones[[#This Row],[turno_manual]]&lt;&gt;"",tblAsignaciones[[#This Row],[turno_manual]],IF(LEFT(tblAsignaciones[[#This Row],[posicion_ciclo]],1)="B","B",tblAsignaciones[[#This Row],[posicion_ciclo]]))</f>
        <v/>
      </c>
      <c r="J77" s="3">
        <f>_xlfn.XLOOKUP(tblAsignaciones[[#This Row],[tecnico]],tblTecnicos[nombre],tblTecnicos[coordinador],"")</f>
        <v/>
      </c>
      <c r="K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7" s="3">
        <f>tblAsignaciones[[#This Row],[semana]]&amp;"|"&amp;tblAsignaciones[[#This Row],[dia]]&amp;"|"&amp;tblAsignaciones[[#This Row],[tecnico]]</f>
        <v/>
      </c>
      <c r="N77" s="3">
        <f>_xlfn.XLOOKUP(tblAsignaciones[[#This Row],[turno]],tblTurnos[turno],tblTurnos[hora_inicio],"")</f>
        <v/>
      </c>
      <c r="O77" s="3">
        <f>_xlfn.XLOOKUP(tblAsignaciones[[#This Row],[turno]],tblTurnos[turno],tblTurnos[hora_fin],"")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3">
        <f>COUNTIFS(tblTecnicos[rotativo],"SI",tblTecnicos[especialidad],tblAsignaciones[[#This Row],[especialidad]],tblTecnicos[area],tblAsignaciones[[#This Row],[area]])</f>
        <v/>
      </c>
      <c r="G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6" t="n"/>
      <c r="I78" s="3">
        <f>IF(tblAsignaciones[[#This Row],[turno_manual]]&lt;&gt;"",tblAsignaciones[[#This Row],[turno_manual]],IF(LEFT(tblAsignaciones[[#This Row],[posicion_ciclo]],1)="B","B",tblAsignaciones[[#This Row],[posicion_ciclo]]))</f>
        <v/>
      </c>
      <c r="J78" s="3">
        <f>_xlfn.XLOOKUP(tblAsignaciones[[#This Row],[tecnico]],tblTecnicos[nombre],tblTecnicos[coordinador],"")</f>
        <v/>
      </c>
      <c r="K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8" s="3">
        <f>tblAsignaciones[[#This Row],[semana]]&amp;"|"&amp;tblAsignaciones[[#This Row],[dia]]&amp;"|"&amp;tblAsignaciones[[#This Row],[tecnico]]</f>
        <v/>
      </c>
      <c r="N78" s="3">
        <f>_xlfn.XLOOKUP(tblAsignaciones[[#This Row],[turno]],tblTurnos[turno],tblTurnos[hora_inicio],"")</f>
        <v/>
      </c>
      <c r="O78" s="3">
        <f>_xlfn.XLOOKUP(tblAsignaciones[[#This Row],[turno]],tblTurnos[turno],tblTurnos[hora_fin],"")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3">
        <f>COUNTIFS(tblTecnicos[rotativo],"SI",tblTecnicos[especialidad],tblAsignaciones[[#This Row],[especialidad]],tblTecnicos[area],tblAsignaciones[[#This Row],[area]])</f>
        <v/>
      </c>
      <c r="G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6" t="n"/>
      <c r="I79" s="3">
        <f>IF(tblAsignaciones[[#This Row],[turno_manual]]&lt;&gt;"",tblAsignaciones[[#This Row],[turno_manual]],IF(LEFT(tblAsignaciones[[#This Row],[posicion_ciclo]],1)="B","B",tblAsignaciones[[#This Row],[posicion_ciclo]]))</f>
        <v/>
      </c>
      <c r="J79" s="3">
        <f>_xlfn.XLOOKUP(tblAsignaciones[[#This Row],[tecnico]],tblTecnicos[nombre],tblTecnicos[coordinador],"")</f>
        <v/>
      </c>
      <c r="K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79" s="3">
        <f>tblAsignaciones[[#This Row],[semana]]&amp;"|"&amp;tblAsignaciones[[#This Row],[dia]]&amp;"|"&amp;tblAsignaciones[[#This Row],[tecnico]]</f>
        <v/>
      </c>
      <c r="N79" s="3">
        <f>_xlfn.XLOOKUP(tblAsignaciones[[#This Row],[turno]],tblTurnos[turno],tblTurnos[hora_inicio],"")</f>
        <v/>
      </c>
      <c r="O79" s="3">
        <f>_xlfn.XLOOKUP(tblAsignaciones[[#This Row],[turno]],tblTurnos[turno],tblTurnos[hora_fin],"")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3">
        <f>COUNTIFS(tblTecnicos[rotativo],"SI",tblTecnicos[especialidad],tblAsignaciones[[#This Row],[especialidad]],tblTecnicos[area],tblAsignaciones[[#This Row],[area]])</f>
        <v/>
      </c>
      <c r="G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6" t="n"/>
      <c r="I80" s="3">
        <f>IF(tblAsignaciones[[#This Row],[turno_manual]]&lt;&gt;"",tblAsignaciones[[#This Row],[turno_manual]],IF(LEFT(tblAsignaciones[[#This Row],[posicion_ciclo]],1)="B","B",tblAsignaciones[[#This Row],[posicion_ciclo]]))</f>
        <v/>
      </c>
      <c r="J80" s="3">
        <f>_xlfn.XLOOKUP(tblAsignaciones[[#This Row],[tecnico]],tblTecnicos[nombre],tblTecnicos[coordinador],"")</f>
        <v/>
      </c>
      <c r="K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0" s="3">
        <f>tblAsignaciones[[#This Row],[semana]]&amp;"|"&amp;tblAsignaciones[[#This Row],[dia]]&amp;"|"&amp;tblAsignaciones[[#This Row],[tecnico]]</f>
        <v/>
      </c>
      <c r="N80" s="3">
        <f>_xlfn.XLOOKUP(tblAsignaciones[[#This Row],[turno]],tblTurnos[turno],tblTurnos[hora_inicio],"")</f>
        <v/>
      </c>
      <c r="O80" s="3">
        <f>_xlfn.XLOOKUP(tblAsignaciones[[#This Row],[turno]],tblTurnos[turno],tblTurnos[hora_fin],"")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3">
        <f>COUNTIFS(tblTecnicos[rotativo],"SI",tblTecnicos[especialidad],tblAsignaciones[[#This Row],[especialidad]],tblTecnicos[area],tblAsignaciones[[#This Row],[area]])</f>
        <v/>
      </c>
      <c r="G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6" t="n"/>
      <c r="I81" s="3">
        <f>IF(tblAsignaciones[[#This Row],[turno_manual]]&lt;&gt;"",tblAsignaciones[[#This Row],[turno_manual]],IF(LEFT(tblAsignaciones[[#This Row],[posicion_ciclo]],1)="B","B",tblAsignaciones[[#This Row],[posicion_ciclo]]))</f>
        <v/>
      </c>
      <c r="J81" s="3">
        <f>_xlfn.XLOOKUP(tblAsignaciones[[#This Row],[tecnico]],tblTecnicos[nombre],tblTecnicos[coordinador],"")</f>
        <v/>
      </c>
      <c r="K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1" s="3">
        <f>tblAsignaciones[[#This Row],[semana]]&amp;"|"&amp;tblAsignaciones[[#This Row],[dia]]&amp;"|"&amp;tblAsignaciones[[#This Row],[tecnico]]</f>
        <v/>
      </c>
      <c r="N81" s="3">
        <f>_xlfn.XLOOKUP(tblAsignaciones[[#This Row],[turno]],tblTurnos[turno],tblTurnos[hora_inicio],"")</f>
        <v/>
      </c>
      <c r="O81" s="3">
        <f>_xlfn.XLOOKUP(tblAsignaciones[[#This Row],[turno]],tblTurnos[turno],tblTurnos[hora_fin],"")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3">
        <f>COUNTIFS(tblTecnicos[rotativo],"SI",tblTecnicos[especialidad],tblAsignaciones[[#This Row],[especialidad]],tblTecnicos[area],tblAsignaciones[[#This Row],[area]])</f>
        <v/>
      </c>
      <c r="G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6" t="n"/>
      <c r="I82" s="3">
        <f>IF(tblAsignaciones[[#This Row],[turno_manual]]&lt;&gt;"",tblAsignaciones[[#This Row],[turno_manual]],IF(LEFT(tblAsignaciones[[#This Row],[posicion_ciclo]],1)="B","B",tblAsignaciones[[#This Row],[posicion_ciclo]]))</f>
        <v/>
      </c>
      <c r="J82" s="3">
        <f>_xlfn.XLOOKUP(tblAsignaciones[[#This Row],[tecnico]],tblTecnicos[nombre],tblTecnicos[coordinador],"")</f>
        <v/>
      </c>
      <c r="K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2" s="3">
        <f>tblAsignaciones[[#This Row],[semana]]&amp;"|"&amp;tblAsignaciones[[#This Row],[dia]]&amp;"|"&amp;tblAsignaciones[[#This Row],[tecnico]]</f>
        <v/>
      </c>
      <c r="N82" s="3">
        <f>_xlfn.XLOOKUP(tblAsignaciones[[#This Row],[turno]],tblTurnos[turno],tblTurnos[hora_inicio],"")</f>
        <v/>
      </c>
      <c r="O82" s="3">
        <f>_xlfn.XLOOKUP(tblAsignaciones[[#This Row],[turno]],tblTurnos[turno],tblTurnos[hora_fin],"")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3">
        <f>COUNTIFS(tblTecnicos[rotativo],"SI",tblTecnicos[especialidad],tblAsignaciones[[#This Row],[especialidad]],tblTecnicos[area],tblAsignaciones[[#This Row],[area]])</f>
        <v/>
      </c>
      <c r="G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6" t="n"/>
      <c r="I83" s="3">
        <f>IF(tblAsignaciones[[#This Row],[turno_manual]]&lt;&gt;"",tblAsignaciones[[#This Row],[turno_manual]],IF(LEFT(tblAsignaciones[[#This Row],[posicion_ciclo]],1)="B","B",tblAsignaciones[[#This Row],[posicion_ciclo]]))</f>
        <v/>
      </c>
      <c r="J83" s="3">
        <f>_xlfn.XLOOKUP(tblAsignaciones[[#This Row],[tecnico]],tblTecnicos[nombre],tblTecnicos[coordinador],"")</f>
        <v/>
      </c>
      <c r="K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3" s="3">
        <f>tblAsignaciones[[#This Row],[semana]]&amp;"|"&amp;tblAsignaciones[[#This Row],[dia]]&amp;"|"&amp;tblAsignaciones[[#This Row],[tecnico]]</f>
        <v/>
      </c>
      <c r="N83" s="3">
        <f>_xlfn.XLOOKUP(tblAsignaciones[[#This Row],[turno]],tblTurnos[turno],tblTurnos[hora_inicio],"")</f>
        <v/>
      </c>
      <c r="O83" s="3">
        <f>_xlfn.XLOOKUP(tblAsignaciones[[#This Row],[turno]],tblTurnos[turno],tblTurnos[hora_fin],"")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3">
        <f>COUNTIFS(tblTecnicos[rotativo],"SI",tblTecnicos[especialidad],tblAsignaciones[[#This Row],[especialidad]],tblTecnicos[area],tblAsignaciones[[#This Row],[area]])</f>
        <v/>
      </c>
      <c r="G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6" t="n"/>
      <c r="I84" s="3">
        <f>IF(tblAsignaciones[[#This Row],[turno_manual]]&lt;&gt;"",tblAsignaciones[[#This Row],[turno_manual]],IF(LEFT(tblAsignaciones[[#This Row],[posicion_ciclo]],1)="B","B",tblAsignaciones[[#This Row],[posicion_ciclo]]))</f>
        <v/>
      </c>
      <c r="J84" s="3">
        <f>_xlfn.XLOOKUP(tblAsignaciones[[#This Row],[tecnico]],tblTecnicos[nombre],tblTecnicos[coordinador],"")</f>
        <v/>
      </c>
      <c r="K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4" s="3">
        <f>tblAsignaciones[[#This Row],[semana]]&amp;"|"&amp;tblAsignaciones[[#This Row],[dia]]&amp;"|"&amp;tblAsignaciones[[#This Row],[tecnico]]</f>
        <v/>
      </c>
      <c r="N84" s="3">
        <f>_xlfn.XLOOKUP(tblAsignaciones[[#This Row],[turno]],tblTurnos[turno],tblTurnos[hora_inicio],"")</f>
        <v/>
      </c>
      <c r="O84" s="3">
        <f>_xlfn.XLOOKUP(tblAsignaciones[[#This Row],[turno]],tblTurnos[turno],tblTurnos[hora_fin],"")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3">
        <f>COUNTIFS(tblTecnicos[rotativo],"SI",tblTecnicos[especialidad],tblAsignaciones[[#This Row],[especialidad]],tblTecnicos[area],tblAsignaciones[[#This Row],[area]])</f>
        <v/>
      </c>
      <c r="G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6" t="n"/>
      <c r="I85" s="3">
        <f>IF(tblAsignaciones[[#This Row],[turno_manual]]&lt;&gt;"",tblAsignaciones[[#This Row],[turno_manual]],IF(LEFT(tblAsignaciones[[#This Row],[posicion_ciclo]],1)="B","B",tblAsignaciones[[#This Row],[posicion_ciclo]]))</f>
        <v/>
      </c>
      <c r="J85" s="3">
        <f>_xlfn.XLOOKUP(tblAsignaciones[[#This Row],[tecnico]],tblTecnicos[nombre],tblTecnicos[coordinador],"")</f>
        <v/>
      </c>
      <c r="K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5" s="3">
        <f>tblAsignaciones[[#This Row],[semana]]&amp;"|"&amp;tblAsignaciones[[#This Row],[dia]]&amp;"|"&amp;tblAsignaciones[[#This Row],[tecnico]]</f>
        <v/>
      </c>
      <c r="N85" s="3">
        <f>_xlfn.XLOOKUP(tblAsignaciones[[#This Row],[turno]],tblTurnos[turno],tblTurnos[hora_inicio],"")</f>
        <v/>
      </c>
      <c r="O85" s="3">
        <f>_xlfn.XLOOKUP(tblAsignaciones[[#This Row],[turno]],tblTurnos[turno],tblTurnos[hora_fin],"")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3">
        <f>COUNTIFS(tblTecnicos[rotativo],"SI",tblTecnicos[especialidad],tblAsignaciones[[#This Row],[especialidad]],tblTecnicos[area],tblAsignaciones[[#This Row],[area]])</f>
        <v/>
      </c>
      <c r="G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6" t="n"/>
      <c r="I86" s="3">
        <f>IF(tblAsignaciones[[#This Row],[turno_manual]]&lt;&gt;"",tblAsignaciones[[#This Row],[turno_manual]],IF(LEFT(tblAsignaciones[[#This Row],[posicion_ciclo]],1)="B","B",tblAsignaciones[[#This Row],[posicion_ciclo]]))</f>
        <v/>
      </c>
      <c r="J86" s="3">
        <f>_xlfn.XLOOKUP(tblAsignaciones[[#This Row],[tecnico]],tblTecnicos[nombre],tblTecnicos[coordinador],"")</f>
        <v/>
      </c>
      <c r="K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6" s="3">
        <f>tblAsignaciones[[#This Row],[semana]]&amp;"|"&amp;tblAsignaciones[[#This Row],[dia]]&amp;"|"&amp;tblAsignaciones[[#This Row],[tecnico]]</f>
        <v/>
      </c>
      <c r="N86" s="3">
        <f>_xlfn.XLOOKUP(tblAsignaciones[[#This Row],[turno]],tblTurnos[turno],tblTurnos[hora_inicio],"")</f>
        <v/>
      </c>
      <c r="O86" s="3">
        <f>_xlfn.XLOOKUP(tblAsignaciones[[#This Row],[turno]],tblTurnos[turno],tblTurnos[hora_fin],"")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3">
        <f>COUNTIFS(tblTecnicos[rotativo],"SI",tblTecnicos[especialidad],tblAsignaciones[[#This Row],[especialidad]],tblTecnicos[area],tblAsignaciones[[#This Row],[area]])</f>
        <v/>
      </c>
      <c r="G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6" t="n"/>
      <c r="I87" s="3">
        <f>IF(tblAsignaciones[[#This Row],[turno_manual]]&lt;&gt;"",tblAsignaciones[[#This Row],[turno_manual]],IF(LEFT(tblAsignaciones[[#This Row],[posicion_ciclo]],1)="B","B",tblAsignaciones[[#This Row],[posicion_ciclo]]))</f>
        <v/>
      </c>
      <c r="J87" s="3">
        <f>_xlfn.XLOOKUP(tblAsignaciones[[#This Row],[tecnico]],tblTecnicos[nombre],tblTecnicos[coordinador],"")</f>
        <v/>
      </c>
      <c r="K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7" s="3">
        <f>tblAsignaciones[[#This Row],[semana]]&amp;"|"&amp;tblAsignaciones[[#This Row],[dia]]&amp;"|"&amp;tblAsignaciones[[#This Row],[tecnico]]</f>
        <v/>
      </c>
      <c r="N87" s="3">
        <f>_xlfn.XLOOKUP(tblAsignaciones[[#This Row],[turno]],tblTurnos[turno],tblTurnos[hora_inicio],"")</f>
        <v/>
      </c>
      <c r="O87" s="3">
        <f>_xlfn.XLOOKUP(tblAsignaciones[[#This Row],[turno]],tblTurnos[turno],tblTurnos[hora_fin],"")</f>
        <v/>
      </c>
    </row>
    <row r="88">
      <c r="A88" s="3" t="inlineStr">
        <is>
          <t>2026-S29</t>
        </is>
      </c>
      <c r="B88" s="3" t="inlineStr">
        <is>
          <t>lunes</t>
        </is>
      </c>
      <c r="C88" s="3" t="inlineStr">
        <is>
          <t>Técnico 13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3">
        <f>COUNTIFS(tblTecnicos[rotativo],"SI",tblTecnicos[especialidad],tblAsignaciones[[#This Row],[especialidad]],tblTecnicos[area],tblAsignaciones[[#This Row],[area]])</f>
        <v/>
      </c>
      <c r="G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6" t="n"/>
      <c r="I88" s="3">
        <f>IF(tblAsignaciones[[#This Row],[turno_manual]]&lt;&gt;"",tblAsignaciones[[#This Row],[turno_manual]],IF(LEFT(tblAsignaciones[[#This Row],[posicion_ciclo]],1)="B","B",tblAsignaciones[[#This Row],[posicion_ciclo]]))</f>
        <v/>
      </c>
      <c r="J88" s="3">
        <f>_xlfn.XLOOKUP(tblAsignaciones[[#This Row],[tecnico]],tblTecnicos[nombre],tblTecnicos[coordinador],"")</f>
        <v/>
      </c>
      <c r="K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8" s="3">
        <f>tblAsignaciones[[#This Row],[semana]]&amp;"|"&amp;tblAsignaciones[[#This Row],[dia]]&amp;"|"&amp;tblAsignaciones[[#This Row],[tecnico]]</f>
        <v/>
      </c>
      <c r="N88" s="3">
        <f>_xlfn.XLOOKUP(tblAsignaciones[[#This Row],[turno]],tblTurnos[turno],tblTurnos[hora_inicio],"")</f>
        <v/>
      </c>
      <c r="O88" s="3">
        <f>_xlfn.XLOOKUP(tblAsignaciones[[#This Row],[turno]],tblTurnos[turno],tblTurnos[hora_fin],"")</f>
        <v/>
      </c>
    </row>
    <row r="89">
      <c r="A89" s="3" t="inlineStr">
        <is>
          <t>2026-S29</t>
        </is>
      </c>
      <c r="B89" s="3" t="inlineStr">
        <is>
          <t>martes</t>
        </is>
      </c>
      <c r="C89" s="3" t="inlineStr">
        <is>
          <t>Técnico 13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3">
        <f>COUNTIFS(tblTecnicos[rotativo],"SI",tblTecnicos[especialidad],tblAsignaciones[[#This Row],[especialidad]],tblTecnicos[area],tblAsignaciones[[#This Row],[area]])</f>
        <v/>
      </c>
      <c r="G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6" t="n"/>
      <c r="I89" s="3">
        <f>IF(tblAsignaciones[[#This Row],[turno_manual]]&lt;&gt;"",tblAsignaciones[[#This Row],[turno_manual]],IF(LEFT(tblAsignaciones[[#This Row],[posicion_ciclo]],1)="B","B",tblAsignaciones[[#This Row],[posicion_ciclo]]))</f>
        <v/>
      </c>
      <c r="J89" s="3">
        <f>_xlfn.XLOOKUP(tblAsignaciones[[#This Row],[tecnico]],tblTecnicos[nombre],tblTecnicos[coordinador],"")</f>
        <v/>
      </c>
      <c r="K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89" s="3">
        <f>tblAsignaciones[[#This Row],[semana]]&amp;"|"&amp;tblAsignaciones[[#This Row],[dia]]&amp;"|"&amp;tblAsignaciones[[#This Row],[tecnico]]</f>
        <v/>
      </c>
      <c r="N89" s="3">
        <f>_xlfn.XLOOKUP(tblAsignaciones[[#This Row],[turno]],tblTurnos[turno],tblTurnos[hora_inicio],"")</f>
        <v/>
      </c>
      <c r="O89" s="3">
        <f>_xlfn.XLOOKUP(tblAsignaciones[[#This Row],[turno]],tblTurnos[turno],tblTurnos[hora_fin],"")</f>
        <v/>
      </c>
    </row>
    <row r="90">
      <c r="A90" s="3" t="inlineStr">
        <is>
          <t>2026-S29</t>
        </is>
      </c>
      <c r="B90" s="3" t="inlineStr">
        <is>
          <t>miércoles</t>
        </is>
      </c>
      <c r="C90" s="3" t="inlineStr">
        <is>
          <t>Técnico 13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3">
        <f>COUNTIFS(tblTecnicos[rotativo],"SI",tblTecnicos[especialidad],tblAsignaciones[[#This Row],[especialidad]],tblTecnicos[area],tblAsignaciones[[#This Row],[area]])</f>
        <v/>
      </c>
      <c r="G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6" t="n"/>
      <c r="I90" s="3">
        <f>IF(tblAsignaciones[[#This Row],[turno_manual]]&lt;&gt;"",tblAsignaciones[[#This Row],[turno_manual]],IF(LEFT(tblAsignaciones[[#This Row],[posicion_ciclo]],1)="B","B",tblAsignaciones[[#This Row],[posicion_ciclo]]))</f>
        <v/>
      </c>
      <c r="J90" s="3">
        <f>_xlfn.XLOOKUP(tblAsignaciones[[#This Row],[tecnico]],tblTecnicos[nombre],tblTecnicos[coordinador],"")</f>
        <v/>
      </c>
      <c r="K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0" s="3">
        <f>tblAsignaciones[[#This Row],[semana]]&amp;"|"&amp;tblAsignaciones[[#This Row],[dia]]&amp;"|"&amp;tblAsignaciones[[#This Row],[tecnico]]</f>
        <v/>
      </c>
      <c r="N90" s="3">
        <f>_xlfn.XLOOKUP(tblAsignaciones[[#This Row],[turno]],tblTurnos[turno],tblTurnos[hora_inicio],"")</f>
        <v/>
      </c>
      <c r="O90" s="3">
        <f>_xlfn.XLOOKUP(tblAsignaciones[[#This Row],[turno]],tblTurnos[turno],tblTurnos[hora_fin],"")</f>
        <v/>
      </c>
    </row>
    <row r="91">
      <c r="A91" s="3" t="inlineStr">
        <is>
          <t>2026-S29</t>
        </is>
      </c>
      <c r="B91" s="3" t="inlineStr">
        <is>
          <t>jueves</t>
        </is>
      </c>
      <c r="C91" s="3" t="inlineStr">
        <is>
          <t>Técnico 13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3">
        <f>COUNTIFS(tblTecnicos[rotativo],"SI",tblTecnicos[especialidad],tblAsignaciones[[#This Row],[especialidad]],tblTecnicos[area],tblAsignaciones[[#This Row],[area]])</f>
        <v/>
      </c>
      <c r="G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6" t="n"/>
      <c r="I91" s="3">
        <f>IF(tblAsignaciones[[#This Row],[turno_manual]]&lt;&gt;"",tblAsignaciones[[#This Row],[turno_manual]],IF(LEFT(tblAsignaciones[[#This Row],[posicion_ciclo]],1)="B","B",tblAsignaciones[[#This Row],[posicion_ciclo]]))</f>
        <v/>
      </c>
      <c r="J91" s="3">
        <f>_xlfn.XLOOKUP(tblAsignaciones[[#This Row],[tecnico]],tblTecnicos[nombre],tblTecnicos[coordinador],"")</f>
        <v/>
      </c>
      <c r="K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1" s="3">
        <f>tblAsignaciones[[#This Row],[semana]]&amp;"|"&amp;tblAsignaciones[[#This Row],[dia]]&amp;"|"&amp;tblAsignaciones[[#This Row],[tecnico]]</f>
        <v/>
      </c>
      <c r="N91" s="3">
        <f>_xlfn.XLOOKUP(tblAsignaciones[[#This Row],[turno]],tblTurnos[turno],tblTurnos[hora_inicio],"")</f>
        <v/>
      </c>
      <c r="O91" s="3">
        <f>_xlfn.XLOOKUP(tblAsignaciones[[#This Row],[turno]],tblTurnos[turno],tblTurnos[hora_fin],"")</f>
        <v/>
      </c>
    </row>
    <row r="92">
      <c r="A92" s="3" t="inlineStr">
        <is>
          <t>2026-S29</t>
        </is>
      </c>
      <c r="B92" s="3" t="inlineStr">
        <is>
          <t>viernes</t>
        </is>
      </c>
      <c r="C92" s="3" t="inlineStr">
        <is>
          <t>Técnico 13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3">
        <f>COUNTIFS(tblTecnicos[rotativo],"SI",tblTecnicos[especialidad],tblAsignaciones[[#This Row],[especialidad]],tblTecnicos[area],tblAsignaciones[[#This Row],[area]])</f>
        <v/>
      </c>
      <c r="G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6" t="n"/>
      <c r="I92" s="3">
        <f>IF(tblAsignaciones[[#This Row],[turno_manual]]&lt;&gt;"",tblAsignaciones[[#This Row],[turno_manual]],IF(LEFT(tblAsignaciones[[#This Row],[posicion_ciclo]],1)="B","B",tblAsignaciones[[#This Row],[posicion_ciclo]]))</f>
        <v/>
      </c>
      <c r="J92" s="3">
        <f>_xlfn.XLOOKUP(tblAsignaciones[[#This Row],[tecnico]],tblTecnicos[nombre],tblTecnicos[coordinador],"")</f>
        <v/>
      </c>
      <c r="K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2" s="3">
        <f>tblAsignaciones[[#This Row],[semana]]&amp;"|"&amp;tblAsignaciones[[#This Row],[dia]]&amp;"|"&amp;tblAsignaciones[[#This Row],[tecnico]]</f>
        <v/>
      </c>
      <c r="N92" s="3">
        <f>_xlfn.XLOOKUP(tblAsignaciones[[#This Row],[turno]],tblTurnos[turno],tblTurnos[hora_inicio],"")</f>
        <v/>
      </c>
      <c r="O92" s="3">
        <f>_xlfn.XLOOKUP(tblAsignaciones[[#This Row],[turno]],tblTurnos[turno],tblTurnos[hora_fin],"")</f>
        <v/>
      </c>
    </row>
    <row r="93">
      <c r="A93" s="3" t="inlineStr">
        <is>
          <t>2026-S29</t>
        </is>
      </c>
      <c r="B93" s="3" t="inlineStr">
        <is>
          <t>sábado</t>
        </is>
      </c>
      <c r="C93" s="3" t="inlineStr">
        <is>
          <t>Técnico 13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3">
        <f>COUNTIFS(tblTecnicos[rotativo],"SI",tblTecnicos[especialidad],tblAsignaciones[[#This Row],[especialidad]],tblTecnicos[area],tblAsignaciones[[#This Row],[area]])</f>
        <v/>
      </c>
      <c r="G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6" t="n"/>
      <c r="I93" s="3">
        <f>IF(tblAsignaciones[[#This Row],[turno_manual]]&lt;&gt;"",tblAsignaciones[[#This Row],[turno_manual]],IF(LEFT(tblAsignaciones[[#This Row],[posicion_ciclo]],1)="B","B",tblAsignaciones[[#This Row],[posicion_ciclo]]))</f>
        <v/>
      </c>
      <c r="J93" s="3">
        <f>_xlfn.XLOOKUP(tblAsignaciones[[#This Row],[tecnico]],tblTecnicos[nombre],tblTecnicos[coordinador],"")</f>
        <v/>
      </c>
      <c r="K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3" s="3">
        <f>tblAsignaciones[[#This Row],[semana]]&amp;"|"&amp;tblAsignaciones[[#This Row],[dia]]&amp;"|"&amp;tblAsignaciones[[#This Row],[tecnico]]</f>
        <v/>
      </c>
      <c r="N93" s="3">
        <f>_xlfn.XLOOKUP(tblAsignaciones[[#This Row],[turno]],tblTurnos[turno],tblTurnos[hora_inicio],"")</f>
        <v/>
      </c>
      <c r="O93" s="3">
        <f>_xlfn.XLOOKUP(tblAsignaciones[[#This Row],[turno]],tblTurnos[turno],tblTurnos[hora_fin],"")</f>
        <v/>
      </c>
    </row>
    <row r="94">
      <c r="A94" s="3" t="inlineStr">
        <is>
          <t>2026-S29</t>
        </is>
      </c>
      <c r="B94" s="3" t="inlineStr">
        <is>
          <t>domingo</t>
        </is>
      </c>
      <c r="C94" s="3" t="inlineStr">
        <is>
          <t>Técnico 13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3">
        <f>COUNTIFS(tblTecnicos[rotativo],"SI",tblTecnicos[especialidad],tblAsignaciones[[#This Row],[especialidad]],tblTecnicos[area],tblAsignaciones[[#This Row],[area]])</f>
        <v/>
      </c>
      <c r="G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6" t="n"/>
      <c r="I94" s="3">
        <f>IF(tblAsignaciones[[#This Row],[turno_manual]]&lt;&gt;"",tblAsignaciones[[#This Row],[turno_manual]],IF(LEFT(tblAsignaciones[[#This Row],[posicion_ciclo]],1)="B","B",tblAsignaciones[[#This Row],[posicion_ciclo]]))</f>
        <v/>
      </c>
      <c r="J94" s="3">
        <f>_xlfn.XLOOKUP(tblAsignaciones[[#This Row],[tecnico]],tblTecnicos[nombre],tblTecnicos[coordinador],"")</f>
        <v/>
      </c>
      <c r="K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4" s="3">
        <f>tblAsignaciones[[#This Row],[semana]]&amp;"|"&amp;tblAsignaciones[[#This Row],[dia]]&amp;"|"&amp;tblAsignaciones[[#This Row],[tecnico]]</f>
        <v/>
      </c>
      <c r="N94" s="3">
        <f>_xlfn.XLOOKUP(tblAsignaciones[[#This Row],[turno]],tblTurnos[turno],tblTurnos[hora_inicio],"")</f>
        <v/>
      </c>
      <c r="O94" s="3">
        <f>_xlfn.XLOOKUP(tblAsignaciones[[#This Row],[turno]],tblTurnos[turno],tblTurnos[hora_fin],"")</f>
        <v/>
      </c>
    </row>
    <row r="95">
      <c r="A95" s="3" t="inlineStr">
        <is>
          <t>2026-S29</t>
        </is>
      </c>
      <c r="B95" s="3" t="inlineStr">
        <is>
          <t>lunes</t>
        </is>
      </c>
      <c r="C95" s="3" t="inlineStr">
        <is>
          <t>Técnico 14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3">
        <f>COUNTIFS(tblTecnicos[rotativo],"SI",tblTecnicos[especialidad],tblAsignaciones[[#This Row],[especialidad]],tblTecnicos[area],tblAsignaciones[[#This Row],[area]])</f>
        <v/>
      </c>
      <c r="G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6" t="n"/>
      <c r="I95" s="3">
        <f>IF(tblAsignaciones[[#This Row],[turno_manual]]&lt;&gt;"",tblAsignaciones[[#This Row],[turno_manual]],IF(LEFT(tblAsignaciones[[#This Row],[posicion_ciclo]],1)="B","B",tblAsignaciones[[#This Row],[posicion_ciclo]]))</f>
        <v/>
      </c>
      <c r="J95" s="3">
        <f>_xlfn.XLOOKUP(tblAsignaciones[[#This Row],[tecnico]],tblTecnicos[nombre],tblTecnicos[coordinador],"")</f>
        <v/>
      </c>
      <c r="K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5" s="3">
        <f>tblAsignaciones[[#This Row],[semana]]&amp;"|"&amp;tblAsignaciones[[#This Row],[dia]]&amp;"|"&amp;tblAsignaciones[[#This Row],[tecnico]]</f>
        <v/>
      </c>
      <c r="N95" s="3">
        <f>_xlfn.XLOOKUP(tblAsignaciones[[#This Row],[turno]],tblTurnos[turno],tblTurnos[hora_inicio],"")</f>
        <v/>
      </c>
      <c r="O95" s="3">
        <f>_xlfn.XLOOKUP(tblAsignaciones[[#This Row],[turno]],tblTurnos[turno],tblTurnos[hora_fin],"")</f>
        <v/>
      </c>
    </row>
    <row r="96">
      <c r="A96" s="3" t="inlineStr">
        <is>
          <t>2026-S29</t>
        </is>
      </c>
      <c r="B96" s="3" t="inlineStr">
        <is>
          <t>martes</t>
        </is>
      </c>
      <c r="C96" s="3" t="inlineStr">
        <is>
          <t>Técnico 14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3">
        <f>COUNTIFS(tblTecnicos[rotativo],"SI",tblTecnicos[especialidad],tblAsignaciones[[#This Row],[especialidad]],tblTecnicos[area],tblAsignaciones[[#This Row],[area]])</f>
        <v/>
      </c>
      <c r="G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6" t="n"/>
      <c r="I96" s="3">
        <f>IF(tblAsignaciones[[#This Row],[turno_manual]]&lt;&gt;"",tblAsignaciones[[#This Row],[turno_manual]],IF(LEFT(tblAsignaciones[[#This Row],[posicion_ciclo]],1)="B","B",tblAsignaciones[[#This Row],[posicion_ciclo]]))</f>
        <v/>
      </c>
      <c r="J96" s="3">
        <f>_xlfn.XLOOKUP(tblAsignaciones[[#This Row],[tecnico]],tblTecnicos[nombre],tblTecnicos[coordinador],"")</f>
        <v/>
      </c>
      <c r="K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6" s="3">
        <f>tblAsignaciones[[#This Row],[semana]]&amp;"|"&amp;tblAsignaciones[[#This Row],[dia]]&amp;"|"&amp;tblAsignaciones[[#This Row],[tecnico]]</f>
        <v/>
      </c>
      <c r="N96" s="3">
        <f>_xlfn.XLOOKUP(tblAsignaciones[[#This Row],[turno]],tblTurnos[turno],tblTurnos[hora_inicio],"")</f>
        <v/>
      </c>
      <c r="O96" s="3">
        <f>_xlfn.XLOOKUP(tblAsignaciones[[#This Row],[turno]],tblTurnos[turno],tblTurnos[hora_fin],"")</f>
        <v/>
      </c>
    </row>
    <row r="97">
      <c r="A97" s="3" t="inlineStr">
        <is>
          <t>2026-S29</t>
        </is>
      </c>
      <c r="B97" s="3" t="inlineStr">
        <is>
          <t>miércoles</t>
        </is>
      </c>
      <c r="C97" s="3" t="inlineStr">
        <is>
          <t>Técnico 14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3">
        <f>COUNTIFS(tblTecnicos[rotativo],"SI",tblTecnicos[especialidad],tblAsignaciones[[#This Row],[especialidad]],tblTecnicos[area],tblAsignaciones[[#This Row],[area]])</f>
        <v/>
      </c>
      <c r="G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6" t="n"/>
      <c r="I97" s="3">
        <f>IF(tblAsignaciones[[#This Row],[turno_manual]]&lt;&gt;"",tblAsignaciones[[#This Row],[turno_manual]],IF(LEFT(tblAsignaciones[[#This Row],[posicion_ciclo]],1)="B","B",tblAsignaciones[[#This Row],[posicion_ciclo]]))</f>
        <v/>
      </c>
      <c r="J97" s="3">
        <f>_xlfn.XLOOKUP(tblAsignaciones[[#This Row],[tecnico]],tblTecnicos[nombre],tblTecnicos[coordinador],"")</f>
        <v/>
      </c>
      <c r="K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7" s="3">
        <f>tblAsignaciones[[#This Row],[semana]]&amp;"|"&amp;tblAsignaciones[[#This Row],[dia]]&amp;"|"&amp;tblAsignaciones[[#This Row],[tecnico]]</f>
        <v/>
      </c>
      <c r="N97" s="3">
        <f>_xlfn.XLOOKUP(tblAsignaciones[[#This Row],[turno]],tblTurnos[turno],tblTurnos[hora_inicio],"")</f>
        <v/>
      </c>
      <c r="O97" s="3">
        <f>_xlfn.XLOOKUP(tblAsignaciones[[#This Row],[turno]],tblTurnos[turno],tblTurnos[hora_fin],"")</f>
        <v/>
      </c>
    </row>
    <row r="98">
      <c r="A98" s="3" t="inlineStr">
        <is>
          <t>2026-S29</t>
        </is>
      </c>
      <c r="B98" s="3" t="inlineStr">
        <is>
          <t>jueves</t>
        </is>
      </c>
      <c r="C98" s="3" t="inlineStr">
        <is>
          <t>Técnico 14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3">
        <f>COUNTIFS(tblTecnicos[rotativo],"SI",tblTecnicos[especialidad],tblAsignaciones[[#This Row],[especialidad]],tblTecnicos[area],tblAsignaciones[[#This Row],[area]])</f>
        <v/>
      </c>
      <c r="G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6" t="n"/>
      <c r="I98" s="3">
        <f>IF(tblAsignaciones[[#This Row],[turno_manual]]&lt;&gt;"",tblAsignaciones[[#This Row],[turno_manual]],IF(LEFT(tblAsignaciones[[#This Row],[posicion_ciclo]],1)="B","B",tblAsignaciones[[#This Row],[posicion_ciclo]]))</f>
        <v/>
      </c>
      <c r="J98" s="3">
        <f>_xlfn.XLOOKUP(tblAsignaciones[[#This Row],[tecnico]],tblTecnicos[nombre],tblTecnicos[coordinador],"")</f>
        <v/>
      </c>
      <c r="K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8" s="3">
        <f>tblAsignaciones[[#This Row],[semana]]&amp;"|"&amp;tblAsignaciones[[#This Row],[dia]]&amp;"|"&amp;tblAsignaciones[[#This Row],[tecnico]]</f>
        <v/>
      </c>
      <c r="N98" s="3">
        <f>_xlfn.XLOOKUP(tblAsignaciones[[#This Row],[turno]],tblTurnos[turno],tblTurnos[hora_inicio],"")</f>
        <v/>
      </c>
      <c r="O98" s="3">
        <f>_xlfn.XLOOKUP(tblAsignaciones[[#This Row],[turno]],tblTurnos[turno],tblTurnos[hora_fin],"")</f>
        <v/>
      </c>
    </row>
    <row r="99">
      <c r="A99" s="3" t="inlineStr">
        <is>
          <t>2026-S29</t>
        </is>
      </c>
      <c r="B99" s="3" t="inlineStr">
        <is>
          <t>viernes</t>
        </is>
      </c>
      <c r="C99" s="3" t="inlineStr">
        <is>
          <t>Técnico 14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3">
        <f>COUNTIFS(tblTecnicos[rotativo],"SI",tblTecnicos[especialidad],tblAsignaciones[[#This Row],[especialidad]],tblTecnicos[area],tblAsignaciones[[#This Row],[area]])</f>
        <v/>
      </c>
      <c r="G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6" t="n"/>
      <c r="I99" s="3">
        <f>IF(tblAsignaciones[[#This Row],[turno_manual]]&lt;&gt;"",tblAsignaciones[[#This Row],[turno_manual]],IF(LEFT(tblAsignaciones[[#This Row],[posicion_ciclo]],1)="B","B",tblAsignaciones[[#This Row],[posicion_ciclo]]))</f>
        <v/>
      </c>
      <c r="J99" s="3">
        <f>_xlfn.XLOOKUP(tblAsignaciones[[#This Row],[tecnico]],tblTecnicos[nombre],tblTecnicos[coordinador],"")</f>
        <v/>
      </c>
      <c r="K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99" s="3">
        <f>tblAsignaciones[[#This Row],[semana]]&amp;"|"&amp;tblAsignaciones[[#This Row],[dia]]&amp;"|"&amp;tblAsignaciones[[#This Row],[tecnico]]</f>
        <v/>
      </c>
      <c r="N99" s="3">
        <f>_xlfn.XLOOKUP(tblAsignaciones[[#This Row],[turno]],tblTurnos[turno],tblTurnos[hora_inicio],"")</f>
        <v/>
      </c>
      <c r="O99" s="3">
        <f>_xlfn.XLOOKUP(tblAsignaciones[[#This Row],[turno]],tblTurnos[turno],tblTurnos[hora_fin],"")</f>
        <v/>
      </c>
    </row>
    <row r="100">
      <c r="A100" s="3" t="inlineStr">
        <is>
          <t>2026-S29</t>
        </is>
      </c>
      <c r="B100" s="3" t="inlineStr">
        <is>
          <t>sábado</t>
        </is>
      </c>
      <c r="C100" s="3" t="inlineStr">
        <is>
          <t>Técnico 14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3">
        <f>COUNTIFS(tblTecnicos[rotativo],"SI",tblTecnicos[especialidad],tblAsignaciones[[#This Row],[especialidad]],tblTecnicos[area],tblAsignaciones[[#This Row],[area]])</f>
        <v/>
      </c>
      <c r="G1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6" t="n"/>
      <c r="I100" s="3">
        <f>IF(tblAsignaciones[[#This Row],[turno_manual]]&lt;&gt;"",tblAsignaciones[[#This Row],[turno_manual]],IF(LEFT(tblAsignaciones[[#This Row],[posicion_ciclo]],1)="B","B",tblAsignaciones[[#This Row],[posicion_ciclo]]))</f>
        <v/>
      </c>
      <c r="J100" s="3">
        <f>_xlfn.XLOOKUP(tblAsignaciones[[#This Row],[tecnico]],tblTecnicos[nombre],tblTecnicos[coordinador],"")</f>
        <v/>
      </c>
      <c r="K1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0" s="3">
        <f>tblAsignaciones[[#This Row],[semana]]&amp;"|"&amp;tblAsignaciones[[#This Row],[dia]]&amp;"|"&amp;tblAsignaciones[[#This Row],[tecnico]]</f>
        <v/>
      </c>
      <c r="N100" s="3">
        <f>_xlfn.XLOOKUP(tblAsignaciones[[#This Row],[turno]],tblTurnos[turno],tblTurnos[hora_inicio],"")</f>
        <v/>
      </c>
      <c r="O100" s="3">
        <f>_xlfn.XLOOKUP(tblAsignaciones[[#This Row],[turno]],tblTurnos[turno],tblTurnos[hora_fin],"")</f>
        <v/>
      </c>
    </row>
    <row r="101">
      <c r="A101" s="3" t="inlineStr">
        <is>
          <t>2026-S29</t>
        </is>
      </c>
      <c r="B101" s="3" t="inlineStr">
        <is>
          <t>domingo</t>
        </is>
      </c>
      <c r="C101" s="3" t="inlineStr">
        <is>
          <t>Técnico 14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3">
        <f>COUNTIFS(tblTecnicos[rotativo],"SI",tblTecnicos[especialidad],tblAsignaciones[[#This Row],[especialidad]],tblTecnicos[area],tblAsignaciones[[#This Row],[area]])</f>
        <v/>
      </c>
      <c r="G1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6" t="n"/>
      <c r="I101" s="3">
        <f>IF(tblAsignaciones[[#This Row],[turno_manual]]&lt;&gt;"",tblAsignaciones[[#This Row],[turno_manual]],IF(LEFT(tblAsignaciones[[#This Row],[posicion_ciclo]],1)="B","B",tblAsignaciones[[#This Row],[posicion_ciclo]]))</f>
        <v/>
      </c>
      <c r="J101" s="3">
        <f>_xlfn.XLOOKUP(tblAsignaciones[[#This Row],[tecnico]],tblTecnicos[nombre],tblTecnicos[coordinador],"")</f>
        <v/>
      </c>
      <c r="K1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1" s="3">
        <f>tblAsignaciones[[#This Row],[semana]]&amp;"|"&amp;tblAsignaciones[[#This Row],[dia]]&amp;"|"&amp;tblAsignaciones[[#This Row],[tecnico]]</f>
        <v/>
      </c>
      <c r="N101" s="3">
        <f>_xlfn.XLOOKUP(tblAsignaciones[[#This Row],[turno]],tblTurnos[turno],tblTurnos[hora_inicio],"")</f>
        <v/>
      </c>
      <c r="O101" s="3">
        <f>_xlfn.XLOOKUP(tblAsignaciones[[#This Row],[turno]],tblTurnos[turno],tblTurnos[hora_fin],"")</f>
        <v/>
      </c>
    </row>
    <row r="102">
      <c r="A102" s="3" t="inlineStr">
        <is>
          <t>2026-S29</t>
        </is>
      </c>
      <c r="B102" s="3" t="inlineStr">
        <is>
          <t>lunes</t>
        </is>
      </c>
      <c r="C102" s="3" t="inlineStr">
        <is>
          <t>Técnico 15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3">
        <f>COUNTIFS(tblTecnicos[rotativo],"SI",tblTecnicos[especialidad],tblAsignaciones[[#This Row],[especialidad]],tblTecnicos[area],tblAsignaciones[[#This Row],[area]])</f>
        <v/>
      </c>
      <c r="G1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6" t="n"/>
      <c r="I102" s="3">
        <f>IF(tblAsignaciones[[#This Row],[turno_manual]]&lt;&gt;"",tblAsignaciones[[#This Row],[turno_manual]],IF(LEFT(tblAsignaciones[[#This Row],[posicion_ciclo]],1)="B","B",tblAsignaciones[[#This Row],[posicion_ciclo]]))</f>
        <v/>
      </c>
      <c r="J102" s="3">
        <f>_xlfn.XLOOKUP(tblAsignaciones[[#This Row],[tecnico]],tblTecnicos[nombre],tblTecnicos[coordinador],"")</f>
        <v/>
      </c>
      <c r="K1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2" s="3">
        <f>tblAsignaciones[[#This Row],[semana]]&amp;"|"&amp;tblAsignaciones[[#This Row],[dia]]&amp;"|"&amp;tblAsignaciones[[#This Row],[tecnico]]</f>
        <v/>
      </c>
      <c r="N102" s="3">
        <f>_xlfn.XLOOKUP(tblAsignaciones[[#This Row],[turno]],tblTurnos[turno],tblTurnos[hora_inicio],"")</f>
        <v/>
      </c>
      <c r="O102" s="3">
        <f>_xlfn.XLOOKUP(tblAsignaciones[[#This Row],[turno]],tblTurnos[turno],tblTurnos[hora_fin],"")</f>
        <v/>
      </c>
    </row>
    <row r="103">
      <c r="A103" s="3" t="inlineStr">
        <is>
          <t>2026-S29</t>
        </is>
      </c>
      <c r="B103" s="3" t="inlineStr">
        <is>
          <t>martes</t>
        </is>
      </c>
      <c r="C103" s="3" t="inlineStr">
        <is>
          <t>Técnico 15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3">
        <f>COUNTIFS(tblTecnicos[rotativo],"SI",tblTecnicos[especialidad],tblAsignaciones[[#This Row],[especialidad]],tblTecnicos[area],tblAsignaciones[[#This Row],[area]])</f>
        <v/>
      </c>
      <c r="G1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6" t="n"/>
      <c r="I103" s="3">
        <f>IF(tblAsignaciones[[#This Row],[turno_manual]]&lt;&gt;"",tblAsignaciones[[#This Row],[turno_manual]],IF(LEFT(tblAsignaciones[[#This Row],[posicion_ciclo]],1)="B","B",tblAsignaciones[[#This Row],[posicion_ciclo]]))</f>
        <v/>
      </c>
      <c r="J103" s="3">
        <f>_xlfn.XLOOKUP(tblAsignaciones[[#This Row],[tecnico]],tblTecnicos[nombre],tblTecnicos[coordinador],"")</f>
        <v/>
      </c>
      <c r="K1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3" s="3">
        <f>tblAsignaciones[[#This Row],[semana]]&amp;"|"&amp;tblAsignaciones[[#This Row],[dia]]&amp;"|"&amp;tblAsignaciones[[#This Row],[tecnico]]</f>
        <v/>
      </c>
      <c r="N103" s="3">
        <f>_xlfn.XLOOKUP(tblAsignaciones[[#This Row],[turno]],tblTurnos[turno],tblTurnos[hora_inicio],"")</f>
        <v/>
      </c>
      <c r="O103" s="3">
        <f>_xlfn.XLOOKUP(tblAsignaciones[[#This Row],[turno]],tblTurnos[turno],tblTurnos[hora_fin],"")</f>
        <v/>
      </c>
    </row>
    <row r="104">
      <c r="A104" s="3" t="inlineStr">
        <is>
          <t>2026-S29</t>
        </is>
      </c>
      <c r="B104" s="3" t="inlineStr">
        <is>
          <t>miércoles</t>
        </is>
      </c>
      <c r="C104" s="3" t="inlineStr">
        <is>
          <t>Técnico 15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3">
        <f>COUNTIFS(tblTecnicos[rotativo],"SI",tblTecnicos[especialidad],tblAsignaciones[[#This Row],[especialidad]],tblTecnicos[area],tblAsignaciones[[#This Row],[area]])</f>
        <v/>
      </c>
      <c r="G1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6" t="n"/>
      <c r="I104" s="3">
        <f>IF(tblAsignaciones[[#This Row],[turno_manual]]&lt;&gt;"",tblAsignaciones[[#This Row],[turno_manual]],IF(LEFT(tblAsignaciones[[#This Row],[posicion_ciclo]],1)="B","B",tblAsignaciones[[#This Row],[posicion_ciclo]]))</f>
        <v/>
      </c>
      <c r="J104" s="3">
        <f>_xlfn.XLOOKUP(tblAsignaciones[[#This Row],[tecnico]],tblTecnicos[nombre],tblTecnicos[coordinador],"")</f>
        <v/>
      </c>
      <c r="K1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4" s="3">
        <f>tblAsignaciones[[#This Row],[semana]]&amp;"|"&amp;tblAsignaciones[[#This Row],[dia]]&amp;"|"&amp;tblAsignaciones[[#This Row],[tecnico]]</f>
        <v/>
      </c>
      <c r="N104" s="3">
        <f>_xlfn.XLOOKUP(tblAsignaciones[[#This Row],[turno]],tblTurnos[turno],tblTurnos[hora_inicio],"")</f>
        <v/>
      </c>
      <c r="O104" s="3">
        <f>_xlfn.XLOOKUP(tblAsignaciones[[#This Row],[turno]],tblTurnos[turno],tblTurnos[hora_fin],"")</f>
        <v/>
      </c>
    </row>
    <row r="105">
      <c r="A105" s="3" t="inlineStr">
        <is>
          <t>2026-S29</t>
        </is>
      </c>
      <c r="B105" s="3" t="inlineStr">
        <is>
          <t>jueves</t>
        </is>
      </c>
      <c r="C105" s="3" t="inlineStr">
        <is>
          <t>Técnico 15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3">
        <f>COUNTIFS(tblTecnicos[rotativo],"SI",tblTecnicos[especialidad],tblAsignaciones[[#This Row],[especialidad]],tblTecnicos[area],tblAsignaciones[[#This Row],[area]])</f>
        <v/>
      </c>
      <c r="G1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6" t="n"/>
      <c r="I105" s="3">
        <f>IF(tblAsignaciones[[#This Row],[turno_manual]]&lt;&gt;"",tblAsignaciones[[#This Row],[turno_manual]],IF(LEFT(tblAsignaciones[[#This Row],[posicion_ciclo]],1)="B","B",tblAsignaciones[[#This Row],[posicion_ciclo]]))</f>
        <v/>
      </c>
      <c r="J105" s="3">
        <f>_xlfn.XLOOKUP(tblAsignaciones[[#This Row],[tecnico]],tblTecnicos[nombre],tblTecnicos[coordinador],"")</f>
        <v/>
      </c>
      <c r="K1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5" s="3">
        <f>tblAsignaciones[[#This Row],[semana]]&amp;"|"&amp;tblAsignaciones[[#This Row],[dia]]&amp;"|"&amp;tblAsignaciones[[#This Row],[tecnico]]</f>
        <v/>
      </c>
      <c r="N105" s="3">
        <f>_xlfn.XLOOKUP(tblAsignaciones[[#This Row],[turno]],tblTurnos[turno],tblTurnos[hora_inicio],"")</f>
        <v/>
      </c>
      <c r="O105" s="3">
        <f>_xlfn.XLOOKUP(tblAsignaciones[[#This Row],[turno]],tblTurnos[turno],tblTurnos[hora_fin],"")</f>
        <v/>
      </c>
    </row>
    <row r="106">
      <c r="A106" s="3" t="inlineStr">
        <is>
          <t>2026-S29</t>
        </is>
      </c>
      <c r="B106" s="3" t="inlineStr">
        <is>
          <t>viernes</t>
        </is>
      </c>
      <c r="C106" s="3" t="inlineStr">
        <is>
          <t>Técnico 15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3">
        <f>COUNTIFS(tblTecnicos[rotativo],"SI",tblTecnicos[especialidad],tblAsignaciones[[#This Row],[especialidad]],tblTecnicos[area],tblAsignaciones[[#This Row],[area]])</f>
        <v/>
      </c>
      <c r="G1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6" t="n"/>
      <c r="I106" s="3">
        <f>IF(tblAsignaciones[[#This Row],[turno_manual]]&lt;&gt;"",tblAsignaciones[[#This Row],[turno_manual]],IF(LEFT(tblAsignaciones[[#This Row],[posicion_ciclo]],1)="B","B",tblAsignaciones[[#This Row],[posicion_ciclo]]))</f>
        <v/>
      </c>
      <c r="J106" s="3">
        <f>_xlfn.XLOOKUP(tblAsignaciones[[#This Row],[tecnico]],tblTecnicos[nombre],tblTecnicos[coordinador],"")</f>
        <v/>
      </c>
      <c r="K1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6" s="3">
        <f>tblAsignaciones[[#This Row],[semana]]&amp;"|"&amp;tblAsignaciones[[#This Row],[dia]]&amp;"|"&amp;tblAsignaciones[[#This Row],[tecnico]]</f>
        <v/>
      </c>
      <c r="N106" s="3">
        <f>_xlfn.XLOOKUP(tblAsignaciones[[#This Row],[turno]],tblTurnos[turno],tblTurnos[hora_inicio],"")</f>
        <v/>
      </c>
      <c r="O106" s="3">
        <f>_xlfn.XLOOKUP(tblAsignaciones[[#This Row],[turno]],tblTurnos[turno],tblTurnos[hora_fin],"")</f>
        <v/>
      </c>
    </row>
    <row r="107">
      <c r="A107" s="3" t="inlineStr">
        <is>
          <t>2026-S29</t>
        </is>
      </c>
      <c r="B107" s="3" t="inlineStr">
        <is>
          <t>sábado</t>
        </is>
      </c>
      <c r="C107" s="3" t="inlineStr">
        <is>
          <t>Técnico 15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3">
        <f>COUNTIFS(tblTecnicos[rotativo],"SI",tblTecnicos[especialidad],tblAsignaciones[[#This Row],[especialidad]],tblTecnicos[area],tblAsignaciones[[#This Row],[area]])</f>
        <v/>
      </c>
      <c r="G1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6" t="n"/>
      <c r="I107" s="3">
        <f>IF(tblAsignaciones[[#This Row],[turno_manual]]&lt;&gt;"",tblAsignaciones[[#This Row],[turno_manual]],IF(LEFT(tblAsignaciones[[#This Row],[posicion_ciclo]],1)="B","B",tblAsignaciones[[#This Row],[posicion_ciclo]]))</f>
        <v/>
      </c>
      <c r="J107" s="3">
        <f>_xlfn.XLOOKUP(tblAsignaciones[[#This Row],[tecnico]],tblTecnicos[nombre],tblTecnicos[coordinador],"")</f>
        <v/>
      </c>
      <c r="K1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7" s="3">
        <f>tblAsignaciones[[#This Row],[semana]]&amp;"|"&amp;tblAsignaciones[[#This Row],[dia]]&amp;"|"&amp;tblAsignaciones[[#This Row],[tecnico]]</f>
        <v/>
      </c>
      <c r="N107" s="3">
        <f>_xlfn.XLOOKUP(tblAsignaciones[[#This Row],[turno]],tblTurnos[turno],tblTurnos[hora_inicio],"")</f>
        <v/>
      </c>
      <c r="O107" s="3">
        <f>_xlfn.XLOOKUP(tblAsignaciones[[#This Row],[turno]],tblTurnos[turno],tblTurnos[hora_fin],"")</f>
        <v/>
      </c>
    </row>
    <row r="108">
      <c r="A108" s="3" t="inlineStr">
        <is>
          <t>2026-S29</t>
        </is>
      </c>
      <c r="B108" s="3" t="inlineStr">
        <is>
          <t>domingo</t>
        </is>
      </c>
      <c r="C108" s="3" t="inlineStr">
        <is>
          <t>Técnico 15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3">
        <f>COUNTIFS(tblTecnicos[rotativo],"SI",tblTecnicos[especialidad],tblAsignaciones[[#This Row],[especialidad]],tblTecnicos[area],tblAsignaciones[[#This Row],[area]])</f>
        <v/>
      </c>
      <c r="G1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6" t="n"/>
      <c r="I108" s="3">
        <f>IF(tblAsignaciones[[#This Row],[turno_manual]]&lt;&gt;"",tblAsignaciones[[#This Row],[turno_manual]],IF(LEFT(tblAsignaciones[[#This Row],[posicion_ciclo]],1)="B","B",tblAsignaciones[[#This Row],[posicion_ciclo]]))</f>
        <v/>
      </c>
      <c r="J108" s="3">
        <f>_xlfn.XLOOKUP(tblAsignaciones[[#This Row],[tecnico]],tblTecnicos[nombre],tblTecnicos[coordinador],"")</f>
        <v/>
      </c>
      <c r="K1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8" s="3">
        <f>tblAsignaciones[[#This Row],[semana]]&amp;"|"&amp;tblAsignaciones[[#This Row],[dia]]&amp;"|"&amp;tblAsignaciones[[#This Row],[tecnico]]</f>
        <v/>
      </c>
      <c r="N108" s="3">
        <f>_xlfn.XLOOKUP(tblAsignaciones[[#This Row],[turno]],tblTurnos[turno],tblTurnos[hora_inicio],"")</f>
        <v/>
      </c>
      <c r="O108" s="3">
        <f>_xlfn.XLOOKUP(tblAsignaciones[[#This Row],[turno]],tblTurnos[turno],tblTurnos[hora_fin],"")</f>
        <v/>
      </c>
    </row>
    <row r="109">
      <c r="A109" s="3" t="inlineStr">
        <is>
          <t>2026-S29</t>
        </is>
      </c>
      <c r="B109" s="3" t="inlineStr">
        <is>
          <t>lunes</t>
        </is>
      </c>
      <c r="C109" s="3" t="inlineStr">
        <is>
          <t>Técnico 16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3">
        <f>COUNTIFS(tblTecnicos[rotativo],"SI",tblTecnicos[especialidad],tblAsignaciones[[#This Row],[especialidad]],tblTecnicos[area],tblAsignaciones[[#This Row],[area]])</f>
        <v/>
      </c>
      <c r="G1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6" t="n"/>
      <c r="I109" s="3">
        <f>IF(tblAsignaciones[[#This Row],[turno_manual]]&lt;&gt;"",tblAsignaciones[[#This Row],[turno_manual]],IF(LEFT(tblAsignaciones[[#This Row],[posicion_ciclo]],1)="B","B",tblAsignaciones[[#This Row],[posicion_ciclo]]))</f>
        <v/>
      </c>
      <c r="J109" s="3">
        <f>_xlfn.XLOOKUP(tblAsignaciones[[#This Row],[tecnico]],tblTecnicos[nombre],tblTecnicos[coordinador],"")</f>
        <v/>
      </c>
      <c r="K1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09" s="3">
        <f>tblAsignaciones[[#This Row],[semana]]&amp;"|"&amp;tblAsignaciones[[#This Row],[dia]]&amp;"|"&amp;tblAsignaciones[[#This Row],[tecnico]]</f>
        <v/>
      </c>
      <c r="N109" s="3">
        <f>_xlfn.XLOOKUP(tblAsignaciones[[#This Row],[turno]],tblTurnos[turno],tblTurnos[hora_inicio],"")</f>
        <v/>
      </c>
      <c r="O109" s="3">
        <f>_xlfn.XLOOKUP(tblAsignaciones[[#This Row],[turno]],tblTurnos[turno],tblTurnos[hora_fin],"")</f>
        <v/>
      </c>
    </row>
    <row r="110">
      <c r="A110" s="3" t="inlineStr">
        <is>
          <t>2026-S29</t>
        </is>
      </c>
      <c r="B110" s="3" t="inlineStr">
        <is>
          <t>martes</t>
        </is>
      </c>
      <c r="C110" s="3" t="inlineStr">
        <is>
          <t>Técnico 16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3">
        <f>COUNTIFS(tblTecnicos[rotativo],"SI",tblTecnicos[especialidad],tblAsignaciones[[#This Row],[especialidad]],tblTecnicos[area],tblAsignaciones[[#This Row],[area]])</f>
        <v/>
      </c>
      <c r="G1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6" t="n"/>
      <c r="I110" s="3">
        <f>IF(tblAsignaciones[[#This Row],[turno_manual]]&lt;&gt;"",tblAsignaciones[[#This Row],[turno_manual]],IF(LEFT(tblAsignaciones[[#This Row],[posicion_ciclo]],1)="B","B",tblAsignaciones[[#This Row],[posicion_ciclo]]))</f>
        <v/>
      </c>
      <c r="J110" s="3">
        <f>_xlfn.XLOOKUP(tblAsignaciones[[#This Row],[tecnico]],tblTecnicos[nombre],tblTecnicos[coordinador],"")</f>
        <v/>
      </c>
      <c r="K1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0" s="3">
        <f>tblAsignaciones[[#This Row],[semana]]&amp;"|"&amp;tblAsignaciones[[#This Row],[dia]]&amp;"|"&amp;tblAsignaciones[[#This Row],[tecnico]]</f>
        <v/>
      </c>
      <c r="N110" s="3">
        <f>_xlfn.XLOOKUP(tblAsignaciones[[#This Row],[turno]],tblTurnos[turno],tblTurnos[hora_inicio],"")</f>
        <v/>
      </c>
      <c r="O110" s="3">
        <f>_xlfn.XLOOKUP(tblAsignaciones[[#This Row],[turno]],tblTurnos[turno],tblTurnos[hora_fin],"")</f>
        <v/>
      </c>
    </row>
    <row r="111">
      <c r="A111" s="3" t="inlineStr">
        <is>
          <t>2026-S29</t>
        </is>
      </c>
      <c r="B111" s="3" t="inlineStr">
        <is>
          <t>miércoles</t>
        </is>
      </c>
      <c r="C111" s="3" t="inlineStr">
        <is>
          <t>Técnico 16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3">
        <f>COUNTIFS(tblTecnicos[rotativo],"SI",tblTecnicos[especialidad],tblAsignaciones[[#This Row],[especialidad]],tblTecnicos[area],tblAsignaciones[[#This Row],[area]])</f>
        <v/>
      </c>
      <c r="G1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6" t="n"/>
      <c r="I111" s="3">
        <f>IF(tblAsignaciones[[#This Row],[turno_manual]]&lt;&gt;"",tblAsignaciones[[#This Row],[turno_manual]],IF(LEFT(tblAsignaciones[[#This Row],[posicion_ciclo]],1)="B","B",tblAsignaciones[[#This Row],[posicion_ciclo]]))</f>
        <v/>
      </c>
      <c r="J111" s="3">
        <f>_xlfn.XLOOKUP(tblAsignaciones[[#This Row],[tecnico]],tblTecnicos[nombre],tblTecnicos[coordinador],"")</f>
        <v/>
      </c>
      <c r="K1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1" s="3">
        <f>tblAsignaciones[[#This Row],[semana]]&amp;"|"&amp;tblAsignaciones[[#This Row],[dia]]&amp;"|"&amp;tblAsignaciones[[#This Row],[tecnico]]</f>
        <v/>
      </c>
      <c r="N111" s="3">
        <f>_xlfn.XLOOKUP(tblAsignaciones[[#This Row],[turno]],tblTurnos[turno],tblTurnos[hora_inicio],"")</f>
        <v/>
      </c>
      <c r="O111" s="3">
        <f>_xlfn.XLOOKUP(tblAsignaciones[[#This Row],[turno]],tblTurnos[turno],tblTurnos[hora_fin],"")</f>
        <v/>
      </c>
    </row>
    <row r="112">
      <c r="A112" s="3" t="inlineStr">
        <is>
          <t>2026-S29</t>
        </is>
      </c>
      <c r="B112" s="3" t="inlineStr">
        <is>
          <t>jueves</t>
        </is>
      </c>
      <c r="C112" s="3" t="inlineStr">
        <is>
          <t>Técnico 16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3">
        <f>COUNTIFS(tblTecnicos[rotativo],"SI",tblTecnicos[especialidad],tblAsignaciones[[#This Row],[especialidad]],tblTecnicos[area],tblAsignaciones[[#This Row],[area]])</f>
        <v/>
      </c>
      <c r="G1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6" t="n"/>
      <c r="I112" s="3">
        <f>IF(tblAsignaciones[[#This Row],[turno_manual]]&lt;&gt;"",tblAsignaciones[[#This Row],[turno_manual]],IF(LEFT(tblAsignaciones[[#This Row],[posicion_ciclo]],1)="B","B",tblAsignaciones[[#This Row],[posicion_ciclo]]))</f>
        <v/>
      </c>
      <c r="J112" s="3">
        <f>_xlfn.XLOOKUP(tblAsignaciones[[#This Row],[tecnico]],tblTecnicos[nombre],tblTecnicos[coordinador],"")</f>
        <v/>
      </c>
      <c r="K1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2" s="3">
        <f>tblAsignaciones[[#This Row],[semana]]&amp;"|"&amp;tblAsignaciones[[#This Row],[dia]]&amp;"|"&amp;tblAsignaciones[[#This Row],[tecnico]]</f>
        <v/>
      </c>
      <c r="N112" s="3">
        <f>_xlfn.XLOOKUP(tblAsignaciones[[#This Row],[turno]],tblTurnos[turno],tblTurnos[hora_inicio],"")</f>
        <v/>
      </c>
      <c r="O112" s="3">
        <f>_xlfn.XLOOKUP(tblAsignaciones[[#This Row],[turno]],tblTurnos[turno],tblTurnos[hora_fin],"")</f>
        <v/>
      </c>
    </row>
    <row r="113">
      <c r="A113" s="3" t="inlineStr">
        <is>
          <t>2026-S29</t>
        </is>
      </c>
      <c r="B113" s="3" t="inlineStr">
        <is>
          <t>viernes</t>
        </is>
      </c>
      <c r="C113" s="3" t="inlineStr">
        <is>
          <t>Técnico 16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3">
        <f>COUNTIFS(tblTecnicos[rotativo],"SI",tblTecnicos[especialidad],tblAsignaciones[[#This Row],[especialidad]],tblTecnicos[area],tblAsignaciones[[#This Row],[area]])</f>
        <v/>
      </c>
      <c r="G1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6" t="n"/>
      <c r="I113" s="3">
        <f>IF(tblAsignaciones[[#This Row],[turno_manual]]&lt;&gt;"",tblAsignaciones[[#This Row],[turno_manual]],IF(LEFT(tblAsignaciones[[#This Row],[posicion_ciclo]],1)="B","B",tblAsignaciones[[#This Row],[posicion_ciclo]]))</f>
        <v/>
      </c>
      <c r="J113" s="3">
        <f>_xlfn.XLOOKUP(tblAsignaciones[[#This Row],[tecnico]],tblTecnicos[nombre],tblTecnicos[coordinador],"")</f>
        <v/>
      </c>
      <c r="K1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3" s="3">
        <f>tblAsignaciones[[#This Row],[semana]]&amp;"|"&amp;tblAsignaciones[[#This Row],[dia]]&amp;"|"&amp;tblAsignaciones[[#This Row],[tecnico]]</f>
        <v/>
      </c>
      <c r="N113" s="3">
        <f>_xlfn.XLOOKUP(tblAsignaciones[[#This Row],[turno]],tblTurnos[turno],tblTurnos[hora_inicio],"")</f>
        <v/>
      </c>
      <c r="O113" s="3">
        <f>_xlfn.XLOOKUP(tblAsignaciones[[#This Row],[turno]],tblTurnos[turno],tblTurnos[hora_fin],"")</f>
        <v/>
      </c>
    </row>
    <row r="114">
      <c r="A114" s="3" t="inlineStr">
        <is>
          <t>2026-S29</t>
        </is>
      </c>
      <c r="B114" s="3" t="inlineStr">
        <is>
          <t>sábado</t>
        </is>
      </c>
      <c r="C114" s="3" t="inlineStr">
        <is>
          <t>Técnico 16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3">
        <f>COUNTIFS(tblTecnicos[rotativo],"SI",tblTecnicos[especialidad],tblAsignaciones[[#This Row],[especialidad]],tblTecnicos[area],tblAsignaciones[[#This Row],[area]])</f>
        <v/>
      </c>
      <c r="G1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6" t="n"/>
      <c r="I114" s="3">
        <f>IF(tblAsignaciones[[#This Row],[turno_manual]]&lt;&gt;"",tblAsignaciones[[#This Row],[turno_manual]],IF(LEFT(tblAsignaciones[[#This Row],[posicion_ciclo]],1)="B","B",tblAsignaciones[[#This Row],[posicion_ciclo]]))</f>
        <v/>
      </c>
      <c r="J114" s="3">
        <f>_xlfn.XLOOKUP(tblAsignaciones[[#This Row],[tecnico]],tblTecnicos[nombre],tblTecnicos[coordinador],"")</f>
        <v/>
      </c>
      <c r="K1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4" s="3">
        <f>tblAsignaciones[[#This Row],[semana]]&amp;"|"&amp;tblAsignaciones[[#This Row],[dia]]&amp;"|"&amp;tblAsignaciones[[#This Row],[tecnico]]</f>
        <v/>
      </c>
      <c r="N114" s="3">
        <f>_xlfn.XLOOKUP(tblAsignaciones[[#This Row],[turno]],tblTurnos[turno],tblTurnos[hora_inicio],"")</f>
        <v/>
      </c>
      <c r="O114" s="3">
        <f>_xlfn.XLOOKUP(tblAsignaciones[[#This Row],[turno]],tblTurnos[turno],tblTurnos[hora_fin],"")</f>
        <v/>
      </c>
    </row>
    <row r="115">
      <c r="A115" s="3" t="inlineStr">
        <is>
          <t>2026-S29</t>
        </is>
      </c>
      <c r="B115" s="3" t="inlineStr">
        <is>
          <t>domingo</t>
        </is>
      </c>
      <c r="C115" s="3" t="inlineStr">
        <is>
          <t>Técnico 16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3">
        <f>COUNTIFS(tblTecnicos[rotativo],"SI",tblTecnicos[especialidad],tblAsignaciones[[#This Row],[especialidad]],tblTecnicos[area],tblAsignaciones[[#This Row],[area]])</f>
        <v/>
      </c>
      <c r="G1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6" t="n"/>
      <c r="I115" s="3">
        <f>IF(tblAsignaciones[[#This Row],[turno_manual]]&lt;&gt;"",tblAsignaciones[[#This Row],[turno_manual]],IF(LEFT(tblAsignaciones[[#This Row],[posicion_ciclo]],1)="B","B",tblAsignaciones[[#This Row],[posicion_ciclo]]))</f>
        <v/>
      </c>
      <c r="J115" s="3">
        <f>_xlfn.XLOOKUP(tblAsignaciones[[#This Row],[tecnico]],tblTecnicos[nombre],tblTecnicos[coordinador],"")</f>
        <v/>
      </c>
      <c r="K1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5" s="3">
        <f>tblAsignaciones[[#This Row],[semana]]&amp;"|"&amp;tblAsignaciones[[#This Row],[dia]]&amp;"|"&amp;tblAsignaciones[[#This Row],[tecnico]]</f>
        <v/>
      </c>
      <c r="N115" s="3">
        <f>_xlfn.XLOOKUP(tblAsignaciones[[#This Row],[turno]],tblTurnos[turno],tblTurnos[hora_inicio],"")</f>
        <v/>
      </c>
      <c r="O115" s="3">
        <f>_xlfn.XLOOKUP(tblAsignaciones[[#This Row],[turno]],tblTurnos[turno],tblTurnos[hora_fin],"")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01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3">
        <f>COUNTIFS(tblTecnicos[rotativo],"SI",tblTecnicos[especialidad],tblAsignaciones[[#This Row],[especialidad]],tblTecnicos[area],tblAsignaciones[[#This Row],[area]])</f>
        <v/>
      </c>
      <c r="G1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6" t="n"/>
      <c r="I116" s="3">
        <f>IF(tblAsignaciones[[#This Row],[turno_manual]]&lt;&gt;"",tblAsignaciones[[#This Row],[turno_manual]],IF(LEFT(tblAsignaciones[[#This Row],[posicion_ciclo]],1)="B","B",tblAsignaciones[[#This Row],[posicion_ciclo]]))</f>
        <v/>
      </c>
      <c r="J116" s="3">
        <f>_xlfn.XLOOKUP(tblAsignaciones[[#This Row],[tecnico]],tblTecnicos[nombre],tblTecnicos[coordinador],"")</f>
        <v/>
      </c>
      <c r="K1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6" s="3">
        <f>tblAsignaciones[[#This Row],[semana]]&amp;"|"&amp;tblAsignaciones[[#This Row],[dia]]&amp;"|"&amp;tblAsignaciones[[#This Row],[tecnico]]</f>
        <v/>
      </c>
      <c r="N116" s="3">
        <f>_xlfn.XLOOKUP(tblAsignaciones[[#This Row],[turno]],tblTurnos[turno],tblTurnos[hora_inicio],"")</f>
        <v/>
      </c>
      <c r="O116" s="3">
        <f>_xlfn.XLOOKUP(tblAsignaciones[[#This Row],[turno]],tblTurnos[turno],tblTurnos[hora_fin],"")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01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3">
        <f>COUNTIFS(tblTecnicos[rotativo],"SI",tblTecnicos[especialidad],tblAsignaciones[[#This Row],[especialidad]],tblTecnicos[area],tblAsignaciones[[#This Row],[area]])</f>
        <v/>
      </c>
      <c r="G1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6" t="n"/>
      <c r="I117" s="3">
        <f>IF(tblAsignaciones[[#This Row],[turno_manual]]&lt;&gt;"",tblAsignaciones[[#This Row],[turno_manual]],IF(LEFT(tblAsignaciones[[#This Row],[posicion_ciclo]],1)="B","B",tblAsignaciones[[#This Row],[posicion_ciclo]]))</f>
        <v/>
      </c>
      <c r="J117" s="3">
        <f>_xlfn.XLOOKUP(tblAsignaciones[[#This Row],[tecnico]],tblTecnicos[nombre],tblTecnicos[coordinador],"")</f>
        <v/>
      </c>
      <c r="K1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7" s="3">
        <f>tblAsignaciones[[#This Row],[semana]]&amp;"|"&amp;tblAsignaciones[[#This Row],[dia]]&amp;"|"&amp;tblAsignaciones[[#This Row],[tecnico]]</f>
        <v/>
      </c>
      <c r="N117" s="3">
        <f>_xlfn.XLOOKUP(tblAsignaciones[[#This Row],[turno]],tblTurnos[turno],tblTurnos[hora_inicio],"")</f>
        <v/>
      </c>
      <c r="O117" s="3">
        <f>_xlfn.XLOOKUP(tblAsignaciones[[#This Row],[turno]],tblTurnos[turno],tblTurnos[hora_fin],"")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01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3">
        <f>COUNTIFS(tblTecnicos[rotativo],"SI",tblTecnicos[especialidad],tblAsignaciones[[#This Row],[especialidad]],tblTecnicos[area],tblAsignaciones[[#This Row],[area]])</f>
        <v/>
      </c>
      <c r="G1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6" t="n"/>
      <c r="I118" s="3">
        <f>IF(tblAsignaciones[[#This Row],[turno_manual]]&lt;&gt;"",tblAsignaciones[[#This Row],[turno_manual]],IF(LEFT(tblAsignaciones[[#This Row],[posicion_ciclo]],1)="B","B",tblAsignaciones[[#This Row],[posicion_ciclo]]))</f>
        <v/>
      </c>
      <c r="J118" s="3">
        <f>_xlfn.XLOOKUP(tblAsignaciones[[#This Row],[tecnico]],tblTecnicos[nombre],tblTecnicos[coordinador],"")</f>
        <v/>
      </c>
      <c r="K1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8" s="3">
        <f>tblAsignaciones[[#This Row],[semana]]&amp;"|"&amp;tblAsignaciones[[#This Row],[dia]]&amp;"|"&amp;tblAsignaciones[[#This Row],[tecnico]]</f>
        <v/>
      </c>
      <c r="N118" s="3">
        <f>_xlfn.XLOOKUP(tblAsignaciones[[#This Row],[turno]],tblTurnos[turno],tblTurnos[hora_inicio],"")</f>
        <v/>
      </c>
      <c r="O118" s="3">
        <f>_xlfn.XLOOKUP(tblAsignaciones[[#This Row],[turno]],tblTurnos[turno],tblTurnos[hora_fin],"")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01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3">
        <f>COUNTIFS(tblTecnicos[rotativo],"SI",tblTecnicos[especialidad],tblAsignaciones[[#This Row],[especialidad]],tblTecnicos[area],tblAsignaciones[[#This Row],[area]])</f>
        <v/>
      </c>
      <c r="G1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6" t="n"/>
      <c r="I119" s="3">
        <f>IF(tblAsignaciones[[#This Row],[turno_manual]]&lt;&gt;"",tblAsignaciones[[#This Row],[turno_manual]],IF(LEFT(tblAsignaciones[[#This Row],[posicion_ciclo]],1)="B","B",tblAsignaciones[[#This Row],[posicion_ciclo]]))</f>
        <v/>
      </c>
      <c r="J119" s="3">
        <f>_xlfn.XLOOKUP(tblAsignaciones[[#This Row],[tecnico]],tblTecnicos[nombre],tblTecnicos[coordinador],"")</f>
        <v/>
      </c>
      <c r="K1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19" s="3">
        <f>tblAsignaciones[[#This Row],[semana]]&amp;"|"&amp;tblAsignaciones[[#This Row],[dia]]&amp;"|"&amp;tblAsignaciones[[#This Row],[tecnico]]</f>
        <v/>
      </c>
      <c r="N119" s="3">
        <f>_xlfn.XLOOKUP(tblAsignaciones[[#This Row],[turno]],tblTurnos[turno],tblTurnos[hora_inicio],"")</f>
        <v/>
      </c>
      <c r="O119" s="3">
        <f>_xlfn.XLOOKUP(tblAsignaciones[[#This Row],[turno]],tblTurnos[turno],tblTurnos[hora_fin],"")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01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3">
        <f>COUNTIFS(tblTecnicos[rotativo],"SI",tblTecnicos[especialidad],tblAsignaciones[[#This Row],[especialidad]],tblTecnicos[area],tblAsignaciones[[#This Row],[area]])</f>
        <v/>
      </c>
      <c r="G1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6" t="n"/>
      <c r="I120" s="3">
        <f>IF(tblAsignaciones[[#This Row],[turno_manual]]&lt;&gt;"",tblAsignaciones[[#This Row],[turno_manual]],IF(LEFT(tblAsignaciones[[#This Row],[posicion_ciclo]],1)="B","B",tblAsignaciones[[#This Row],[posicion_ciclo]]))</f>
        <v/>
      </c>
      <c r="J120" s="3">
        <f>_xlfn.XLOOKUP(tblAsignaciones[[#This Row],[tecnico]],tblTecnicos[nombre],tblTecnicos[coordinador],"")</f>
        <v/>
      </c>
      <c r="K1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0" s="3">
        <f>tblAsignaciones[[#This Row],[semana]]&amp;"|"&amp;tblAsignaciones[[#This Row],[dia]]&amp;"|"&amp;tblAsignaciones[[#This Row],[tecnico]]</f>
        <v/>
      </c>
      <c r="N120" s="3">
        <f>_xlfn.XLOOKUP(tblAsignaciones[[#This Row],[turno]],tblTurnos[turno],tblTurnos[hora_inicio],"")</f>
        <v/>
      </c>
      <c r="O120" s="3">
        <f>_xlfn.XLOOKUP(tblAsignaciones[[#This Row],[turno]],tblTurnos[turno],tblTurnos[hora_fin],"")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01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3">
        <f>COUNTIFS(tblTecnicos[rotativo],"SI",tblTecnicos[especialidad],tblAsignaciones[[#This Row],[especialidad]],tblTecnicos[area],tblAsignaciones[[#This Row],[area]])</f>
        <v/>
      </c>
      <c r="G1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6" t="n"/>
      <c r="I121" s="3">
        <f>IF(tblAsignaciones[[#This Row],[turno_manual]]&lt;&gt;"",tblAsignaciones[[#This Row],[turno_manual]],IF(LEFT(tblAsignaciones[[#This Row],[posicion_ciclo]],1)="B","B",tblAsignaciones[[#This Row],[posicion_ciclo]]))</f>
        <v/>
      </c>
      <c r="J121" s="3">
        <f>_xlfn.XLOOKUP(tblAsignaciones[[#This Row],[tecnico]],tblTecnicos[nombre],tblTecnicos[coordinador],"")</f>
        <v/>
      </c>
      <c r="K1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1" s="3">
        <f>tblAsignaciones[[#This Row],[semana]]&amp;"|"&amp;tblAsignaciones[[#This Row],[dia]]&amp;"|"&amp;tblAsignaciones[[#This Row],[tecnico]]</f>
        <v/>
      </c>
      <c r="N121" s="3">
        <f>_xlfn.XLOOKUP(tblAsignaciones[[#This Row],[turno]],tblTurnos[turno],tblTurnos[hora_inicio],"")</f>
        <v/>
      </c>
      <c r="O121" s="3">
        <f>_xlfn.XLOOKUP(tblAsignaciones[[#This Row],[turno]],tblTurnos[turno],tblTurnos[hora_fin],"")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01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3">
        <f>COUNTIFS(tblTecnicos[rotativo],"SI",tblTecnicos[especialidad],tblAsignaciones[[#This Row],[especialidad]],tblTecnicos[area],tblAsignaciones[[#This Row],[area]])</f>
        <v/>
      </c>
      <c r="G1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6" t="n"/>
      <c r="I122" s="3">
        <f>IF(tblAsignaciones[[#This Row],[turno_manual]]&lt;&gt;"",tblAsignaciones[[#This Row],[turno_manual]],IF(LEFT(tblAsignaciones[[#This Row],[posicion_ciclo]],1)="B","B",tblAsignaciones[[#This Row],[posicion_ciclo]]))</f>
        <v/>
      </c>
      <c r="J122" s="3">
        <f>_xlfn.XLOOKUP(tblAsignaciones[[#This Row],[tecnico]],tblTecnicos[nombre],tblTecnicos[coordinador],"")</f>
        <v/>
      </c>
      <c r="K1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2" s="3">
        <f>tblAsignaciones[[#This Row],[semana]]&amp;"|"&amp;tblAsignaciones[[#This Row],[dia]]&amp;"|"&amp;tblAsignaciones[[#This Row],[tecnico]]</f>
        <v/>
      </c>
      <c r="N122" s="3">
        <f>_xlfn.XLOOKUP(tblAsignaciones[[#This Row],[turno]],tblTurnos[turno],tblTurnos[hora_inicio],"")</f>
        <v/>
      </c>
      <c r="O122" s="3">
        <f>_xlfn.XLOOKUP(tblAsignaciones[[#This Row],[turno]],tblTurnos[turno],tblTurnos[hora_fin],"")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02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3">
        <f>COUNTIFS(tblTecnicos[rotativo],"SI",tblTecnicos[especialidad],tblAsignaciones[[#This Row],[especialidad]],tblTecnicos[area],tblAsignaciones[[#This Row],[area]])</f>
        <v/>
      </c>
      <c r="G1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6" t="n"/>
      <c r="I123" s="3">
        <f>IF(tblAsignaciones[[#This Row],[turno_manual]]&lt;&gt;"",tblAsignaciones[[#This Row],[turno_manual]],IF(LEFT(tblAsignaciones[[#This Row],[posicion_ciclo]],1)="B","B",tblAsignaciones[[#This Row],[posicion_ciclo]]))</f>
        <v/>
      </c>
      <c r="J123" s="3">
        <f>_xlfn.XLOOKUP(tblAsignaciones[[#This Row],[tecnico]],tblTecnicos[nombre],tblTecnicos[coordinador],"")</f>
        <v/>
      </c>
      <c r="K1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3" s="3">
        <f>tblAsignaciones[[#This Row],[semana]]&amp;"|"&amp;tblAsignaciones[[#This Row],[dia]]&amp;"|"&amp;tblAsignaciones[[#This Row],[tecnico]]</f>
        <v/>
      </c>
      <c r="N123" s="3">
        <f>_xlfn.XLOOKUP(tblAsignaciones[[#This Row],[turno]],tblTurnos[turno],tblTurnos[hora_inicio],"")</f>
        <v/>
      </c>
      <c r="O123" s="3">
        <f>_xlfn.XLOOKUP(tblAsignaciones[[#This Row],[turno]],tblTurnos[turno],tblTurnos[hora_fin],"")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02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3">
        <f>COUNTIFS(tblTecnicos[rotativo],"SI",tblTecnicos[especialidad],tblAsignaciones[[#This Row],[especialidad]],tblTecnicos[area],tblAsignaciones[[#This Row],[area]])</f>
        <v/>
      </c>
      <c r="G1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6" t="n"/>
      <c r="I124" s="3">
        <f>IF(tblAsignaciones[[#This Row],[turno_manual]]&lt;&gt;"",tblAsignaciones[[#This Row],[turno_manual]],IF(LEFT(tblAsignaciones[[#This Row],[posicion_ciclo]],1)="B","B",tblAsignaciones[[#This Row],[posicion_ciclo]]))</f>
        <v/>
      </c>
      <c r="J124" s="3">
        <f>_xlfn.XLOOKUP(tblAsignaciones[[#This Row],[tecnico]],tblTecnicos[nombre],tblTecnicos[coordinador],"")</f>
        <v/>
      </c>
      <c r="K1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4" s="3">
        <f>tblAsignaciones[[#This Row],[semana]]&amp;"|"&amp;tblAsignaciones[[#This Row],[dia]]&amp;"|"&amp;tblAsignaciones[[#This Row],[tecnico]]</f>
        <v/>
      </c>
      <c r="N124" s="3">
        <f>_xlfn.XLOOKUP(tblAsignaciones[[#This Row],[turno]],tblTurnos[turno],tblTurnos[hora_inicio],"")</f>
        <v/>
      </c>
      <c r="O124" s="3">
        <f>_xlfn.XLOOKUP(tblAsignaciones[[#This Row],[turno]],tblTurnos[turno],tblTurnos[hora_fin],"")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02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3">
        <f>COUNTIFS(tblTecnicos[rotativo],"SI",tblTecnicos[especialidad],tblAsignaciones[[#This Row],[especialidad]],tblTecnicos[area],tblAsignaciones[[#This Row],[area]])</f>
        <v/>
      </c>
      <c r="G1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6" t="n"/>
      <c r="I125" s="3">
        <f>IF(tblAsignaciones[[#This Row],[turno_manual]]&lt;&gt;"",tblAsignaciones[[#This Row],[turno_manual]],IF(LEFT(tblAsignaciones[[#This Row],[posicion_ciclo]],1)="B","B",tblAsignaciones[[#This Row],[posicion_ciclo]]))</f>
        <v/>
      </c>
      <c r="J125" s="3">
        <f>_xlfn.XLOOKUP(tblAsignaciones[[#This Row],[tecnico]],tblTecnicos[nombre],tblTecnicos[coordinador],"")</f>
        <v/>
      </c>
      <c r="K1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5" s="3">
        <f>tblAsignaciones[[#This Row],[semana]]&amp;"|"&amp;tblAsignaciones[[#This Row],[dia]]&amp;"|"&amp;tblAsignaciones[[#This Row],[tecnico]]</f>
        <v/>
      </c>
      <c r="N125" s="3">
        <f>_xlfn.XLOOKUP(tblAsignaciones[[#This Row],[turno]],tblTurnos[turno],tblTurnos[hora_inicio],"")</f>
        <v/>
      </c>
      <c r="O125" s="3">
        <f>_xlfn.XLOOKUP(tblAsignaciones[[#This Row],[turno]],tblTurnos[turno],tblTurnos[hora_fin],"")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02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3">
        <f>COUNTIFS(tblTecnicos[rotativo],"SI",tblTecnicos[especialidad],tblAsignaciones[[#This Row],[especialidad]],tblTecnicos[area],tblAsignaciones[[#This Row],[area]])</f>
        <v/>
      </c>
      <c r="G1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6" t="n"/>
      <c r="I126" s="3">
        <f>IF(tblAsignaciones[[#This Row],[turno_manual]]&lt;&gt;"",tblAsignaciones[[#This Row],[turno_manual]],IF(LEFT(tblAsignaciones[[#This Row],[posicion_ciclo]],1)="B","B",tblAsignaciones[[#This Row],[posicion_ciclo]]))</f>
        <v/>
      </c>
      <c r="J126" s="3">
        <f>_xlfn.XLOOKUP(tblAsignaciones[[#This Row],[tecnico]],tblTecnicos[nombre],tblTecnicos[coordinador],"")</f>
        <v/>
      </c>
      <c r="K1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6" s="3">
        <f>tblAsignaciones[[#This Row],[semana]]&amp;"|"&amp;tblAsignaciones[[#This Row],[dia]]&amp;"|"&amp;tblAsignaciones[[#This Row],[tecnico]]</f>
        <v/>
      </c>
      <c r="N126" s="3">
        <f>_xlfn.XLOOKUP(tblAsignaciones[[#This Row],[turno]],tblTurnos[turno],tblTurnos[hora_inicio],"")</f>
        <v/>
      </c>
      <c r="O126" s="3">
        <f>_xlfn.XLOOKUP(tblAsignaciones[[#This Row],[turno]],tblTurnos[turno],tblTurnos[hora_fin],"")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02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3">
        <f>COUNTIFS(tblTecnicos[rotativo],"SI",tblTecnicos[especialidad],tblAsignaciones[[#This Row],[especialidad]],tblTecnicos[area],tblAsignaciones[[#This Row],[area]])</f>
        <v/>
      </c>
      <c r="G1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6" t="n"/>
      <c r="I127" s="3">
        <f>IF(tblAsignaciones[[#This Row],[turno_manual]]&lt;&gt;"",tblAsignaciones[[#This Row],[turno_manual]],IF(LEFT(tblAsignaciones[[#This Row],[posicion_ciclo]],1)="B","B",tblAsignaciones[[#This Row],[posicion_ciclo]]))</f>
        <v/>
      </c>
      <c r="J127" s="3">
        <f>_xlfn.XLOOKUP(tblAsignaciones[[#This Row],[tecnico]],tblTecnicos[nombre],tblTecnicos[coordinador],"")</f>
        <v/>
      </c>
      <c r="K1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7" s="3">
        <f>tblAsignaciones[[#This Row],[semana]]&amp;"|"&amp;tblAsignaciones[[#This Row],[dia]]&amp;"|"&amp;tblAsignaciones[[#This Row],[tecnico]]</f>
        <v/>
      </c>
      <c r="N127" s="3">
        <f>_xlfn.XLOOKUP(tblAsignaciones[[#This Row],[turno]],tblTurnos[turno],tblTurnos[hora_inicio],"")</f>
        <v/>
      </c>
      <c r="O127" s="3">
        <f>_xlfn.XLOOKUP(tblAsignaciones[[#This Row],[turno]],tblTurnos[turno],tblTurnos[hora_fin],"")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02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3">
        <f>COUNTIFS(tblTecnicos[rotativo],"SI",tblTecnicos[especialidad],tblAsignaciones[[#This Row],[especialidad]],tblTecnicos[area],tblAsignaciones[[#This Row],[area]])</f>
        <v/>
      </c>
      <c r="G1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6" t="n"/>
      <c r="I128" s="3">
        <f>IF(tblAsignaciones[[#This Row],[turno_manual]]&lt;&gt;"",tblAsignaciones[[#This Row],[turno_manual]],IF(LEFT(tblAsignaciones[[#This Row],[posicion_ciclo]],1)="B","B",tblAsignaciones[[#This Row],[posicion_ciclo]]))</f>
        <v/>
      </c>
      <c r="J128" s="3">
        <f>_xlfn.XLOOKUP(tblAsignaciones[[#This Row],[tecnico]],tblTecnicos[nombre],tblTecnicos[coordinador],"")</f>
        <v/>
      </c>
      <c r="K1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8" s="3">
        <f>tblAsignaciones[[#This Row],[semana]]&amp;"|"&amp;tblAsignaciones[[#This Row],[dia]]&amp;"|"&amp;tblAsignaciones[[#This Row],[tecnico]]</f>
        <v/>
      </c>
      <c r="N128" s="3">
        <f>_xlfn.XLOOKUP(tblAsignaciones[[#This Row],[turno]],tblTurnos[turno],tblTurnos[hora_inicio],"")</f>
        <v/>
      </c>
      <c r="O128" s="3">
        <f>_xlfn.XLOOKUP(tblAsignaciones[[#This Row],[turno]],tblTurnos[turno],tblTurnos[hora_fin],"")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02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3">
        <f>COUNTIFS(tblTecnicos[rotativo],"SI",tblTecnicos[especialidad],tblAsignaciones[[#This Row],[especialidad]],tblTecnicos[area],tblAsignaciones[[#This Row],[area]])</f>
        <v/>
      </c>
      <c r="G1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6" t="n"/>
      <c r="I129" s="3">
        <f>IF(tblAsignaciones[[#This Row],[turno_manual]]&lt;&gt;"",tblAsignaciones[[#This Row],[turno_manual]],IF(LEFT(tblAsignaciones[[#This Row],[posicion_ciclo]],1)="B","B",tblAsignaciones[[#This Row],[posicion_ciclo]]))</f>
        <v/>
      </c>
      <c r="J129" s="3">
        <f>_xlfn.XLOOKUP(tblAsignaciones[[#This Row],[tecnico]],tblTecnicos[nombre],tblTecnicos[coordinador],"")</f>
        <v/>
      </c>
      <c r="K1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29" s="3">
        <f>tblAsignaciones[[#This Row],[semana]]&amp;"|"&amp;tblAsignaciones[[#This Row],[dia]]&amp;"|"&amp;tblAsignaciones[[#This Row],[tecnico]]</f>
        <v/>
      </c>
      <c r="N129" s="3">
        <f>_xlfn.XLOOKUP(tblAsignaciones[[#This Row],[turno]],tblTurnos[turno],tblTurnos[hora_inicio],"")</f>
        <v/>
      </c>
      <c r="O129" s="3">
        <f>_xlfn.XLOOKUP(tblAsignaciones[[#This Row],[turno]],tblTurnos[turno],tblTurnos[hora_fin],"")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03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3">
        <f>COUNTIFS(tblTecnicos[rotativo],"SI",tblTecnicos[especialidad],tblAsignaciones[[#This Row],[especialidad]],tblTecnicos[area],tblAsignaciones[[#This Row],[area]])</f>
        <v/>
      </c>
      <c r="G1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6" t="n"/>
      <c r="I130" s="3">
        <f>IF(tblAsignaciones[[#This Row],[turno_manual]]&lt;&gt;"",tblAsignaciones[[#This Row],[turno_manual]],IF(LEFT(tblAsignaciones[[#This Row],[posicion_ciclo]],1)="B","B",tblAsignaciones[[#This Row],[posicion_ciclo]]))</f>
        <v/>
      </c>
      <c r="J130" s="3">
        <f>_xlfn.XLOOKUP(tblAsignaciones[[#This Row],[tecnico]],tblTecnicos[nombre],tblTecnicos[coordinador],"")</f>
        <v/>
      </c>
      <c r="K1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0" s="3">
        <f>tblAsignaciones[[#This Row],[semana]]&amp;"|"&amp;tblAsignaciones[[#This Row],[dia]]&amp;"|"&amp;tblAsignaciones[[#This Row],[tecnico]]</f>
        <v/>
      </c>
      <c r="N130" s="3">
        <f>_xlfn.XLOOKUP(tblAsignaciones[[#This Row],[turno]],tblTurnos[turno],tblTurnos[hora_inicio],"")</f>
        <v/>
      </c>
      <c r="O130" s="3">
        <f>_xlfn.XLOOKUP(tblAsignaciones[[#This Row],[turno]],tblTurnos[turno],tblTurnos[hora_fin],"")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03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3">
        <f>COUNTIFS(tblTecnicos[rotativo],"SI",tblTecnicos[especialidad],tblAsignaciones[[#This Row],[especialidad]],tblTecnicos[area],tblAsignaciones[[#This Row],[area]])</f>
        <v/>
      </c>
      <c r="G1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6" t="n"/>
      <c r="I131" s="3">
        <f>IF(tblAsignaciones[[#This Row],[turno_manual]]&lt;&gt;"",tblAsignaciones[[#This Row],[turno_manual]],IF(LEFT(tblAsignaciones[[#This Row],[posicion_ciclo]],1)="B","B",tblAsignaciones[[#This Row],[posicion_ciclo]]))</f>
        <v/>
      </c>
      <c r="J131" s="3">
        <f>_xlfn.XLOOKUP(tblAsignaciones[[#This Row],[tecnico]],tblTecnicos[nombre],tblTecnicos[coordinador],"")</f>
        <v/>
      </c>
      <c r="K1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1" s="3">
        <f>tblAsignaciones[[#This Row],[semana]]&amp;"|"&amp;tblAsignaciones[[#This Row],[dia]]&amp;"|"&amp;tblAsignaciones[[#This Row],[tecnico]]</f>
        <v/>
      </c>
      <c r="N131" s="3">
        <f>_xlfn.XLOOKUP(tblAsignaciones[[#This Row],[turno]],tblTurnos[turno],tblTurnos[hora_inicio],"")</f>
        <v/>
      </c>
      <c r="O131" s="3">
        <f>_xlfn.XLOOKUP(tblAsignaciones[[#This Row],[turno]],tblTurnos[turno],tblTurnos[hora_fin],"")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03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3">
        <f>COUNTIFS(tblTecnicos[rotativo],"SI",tblTecnicos[especialidad],tblAsignaciones[[#This Row],[especialidad]],tblTecnicos[area],tblAsignaciones[[#This Row],[area]])</f>
        <v/>
      </c>
      <c r="G1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6" t="n"/>
      <c r="I132" s="3">
        <f>IF(tblAsignaciones[[#This Row],[turno_manual]]&lt;&gt;"",tblAsignaciones[[#This Row],[turno_manual]],IF(LEFT(tblAsignaciones[[#This Row],[posicion_ciclo]],1)="B","B",tblAsignaciones[[#This Row],[posicion_ciclo]]))</f>
        <v/>
      </c>
      <c r="J132" s="3">
        <f>_xlfn.XLOOKUP(tblAsignaciones[[#This Row],[tecnico]],tblTecnicos[nombre],tblTecnicos[coordinador],"")</f>
        <v/>
      </c>
      <c r="K1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2" s="3">
        <f>tblAsignaciones[[#This Row],[semana]]&amp;"|"&amp;tblAsignaciones[[#This Row],[dia]]&amp;"|"&amp;tblAsignaciones[[#This Row],[tecnico]]</f>
        <v/>
      </c>
      <c r="N132" s="3">
        <f>_xlfn.XLOOKUP(tblAsignaciones[[#This Row],[turno]],tblTurnos[turno],tblTurnos[hora_inicio],"")</f>
        <v/>
      </c>
      <c r="O132" s="3">
        <f>_xlfn.XLOOKUP(tblAsignaciones[[#This Row],[turno]],tblTurnos[turno],tblTurnos[hora_fin],"")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03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3">
        <f>COUNTIFS(tblTecnicos[rotativo],"SI",tblTecnicos[especialidad],tblAsignaciones[[#This Row],[especialidad]],tblTecnicos[area],tblAsignaciones[[#This Row],[area]])</f>
        <v/>
      </c>
      <c r="G1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6" t="n"/>
      <c r="I133" s="3">
        <f>IF(tblAsignaciones[[#This Row],[turno_manual]]&lt;&gt;"",tblAsignaciones[[#This Row],[turno_manual]],IF(LEFT(tblAsignaciones[[#This Row],[posicion_ciclo]],1)="B","B",tblAsignaciones[[#This Row],[posicion_ciclo]]))</f>
        <v/>
      </c>
      <c r="J133" s="3">
        <f>_xlfn.XLOOKUP(tblAsignaciones[[#This Row],[tecnico]],tblTecnicos[nombre],tblTecnicos[coordinador],"")</f>
        <v/>
      </c>
      <c r="K1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3" s="3">
        <f>tblAsignaciones[[#This Row],[semana]]&amp;"|"&amp;tblAsignaciones[[#This Row],[dia]]&amp;"|"&amp;tblAsignaciones[[#This Row],[tecnico]]</f>
        <v/>
      </c>
      <c r="N133" s="3">
        <f>_xlfn.XLOOKUP(tblAsignaciones[[#This Row],[turno]],tblTurnos[turno],tblTurnos[hora_inicio],"")</f>
        <v/>
      </c>
      <c r="O133" s="3">
        <f>_xlfn.XLOOKUP(tblAsignaciones[[#This Row],[turno]],tblTurnos[turno],tblTurnos[hora_fin],"")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03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3">
        <f>COUNTIFS(tblTecnicos[rotativo],"SI",tblTecnicos[especialidad],tblAsignaciones[[#This Row],[especialidad]],tblTecnicos[area],tblAsignaciones[[#This Row],[area]])</f>
        <v/>
      </c>
      <c r="G1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6" t="n"/>
      <c r="I134" s="3">
        <f>IF(tblAsignaciones[[#This Row],[turno_manual]]&lt;&gt;"",tblAsignaciones[[#This Row],[turno_manual]],IF(LEFT(tblAsignaciones[[#This Row],[posicion_ciclo]],1)="B","B",tblAsignaciones[[#This Row],[posicion_ciclo]]))</f>
        <v/>
      </c>
      <c r="J134" s="3">
        <f>_xlfn.XLOOKUP(tblAsignaciones[[#This Row],[tecnico]],tblTecnicos[nombre],tblTecnicos[coordinador],"")</f>
        <v/>
      </c>
      <c r="K1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4" s="3">
        <f>tblAsignaciones[[#This Row],[semana]]&amp;"|"&amp;tblAsignaciones[[#This Row],[dia]]&amp;"|"&amp;tblAsignaciones[[#This Row],[tecnico]]</f>
        <v/>
      </c>
      <c r="N134" s="3">
        <f>_xlfn.XLOOKUP(tblAsignaciones[[#This Row],[turno]],tblTurnos[turno],tblTurnos[hora_inicio],"")</f>
        <v/>
      </c>
      <c r="O134" s="3">
        <f>_xlfn.XLOOKUP(tblAsignaciones[[#This Row],[turno]],tblTurnos[turno],tblTurnos[hora_fin],"")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03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3">
        <f>COUNTIFS(tblTecnicos[rotativo],"SI",tblTecnicos[especialidad],tblAsignaciones[[#This Row],[especialidad]],tblTecnicos[area],tblAsignaciones[[#This Row],[area]])</f>
        <v/>
      </c>
      <c r="G1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6" t="n"/>
      <c r="I135" s="3">
        <f>IF(tblAsignaciones[[#This Row],[turno_manual]]&lt;&gt;"",tblAsignaciones[[#This Row],[turno_manual]],IF(LEFT(tblAsignaciones[[#This Row],[posicion_ciclo]],1)="B","B",tblAsignaciones[[#This Row],[posicion_ciclo]]))</f>
        <v/>
      </c>
      <c r="J135" s="3">
        <f>_xlfn.XLOOKUP(tblAsignaciones[[#This Row],[tecnico]],tblTecnicos[nombre],tblTecnicos[coordinador],"")</f>
        <v/>
      </c>
      <c r="K1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5" s="3">
        <f>tblAsignaciones[[#This Row],[semana]]&amp;"|"&amp;tblAsignaciones[[#This Row],[dia]]&amp;"|"&amp;tblAsignaciones[[#This Row],[tecnico]]</f>
        <v/>
      </c>
      <c r="N135" s="3">
        <f>_xlfn.XLOOKUP(tblAsignaciones[[#This Row],[turno]],tblTurnos[turno],tblTurnos[hora_inicio],"")</f>
        <v/>
      </c>
      <c r="O135" s="3">
        <f>_xlfn.XLOOKUP(tblAsignaciones[[#This Row],[turno]],tblTurnos[turno],tblTurnos[hora_fin],"")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03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3">
        <f>COUNTIFS(tblTecnicos[rotativo],"SI",tblTecnicos[especialidad],tblAsignaciones[[#This Row],[especialidad]],tblTecnicos[area],tblAsignaciones[[#This Row],[area]])</f>
        <v/>
      </c>
      <c r="G1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6" t="n"/>
      <c r="I136" s="3">
        <f>IF(tblAsignaciones[[#This Row],[turno_manual]]&lt;&gt;"",tblAsignaciones[[#This Row],[turno_manual]],IF(LEFT(tblAsignaciones[[#This Row],[posicion_ciclo]],1)="B","B",tblAsignaciones[[#This Row],[posicion_ciclo]]))</f>
        <v/>
      </c>
      <c r="J136" s="3">
        <f>_xlfn.XLOOKUP(tblAsignaciones[[#This Row],[tecnico]],tblTecnicos[nombre],tblTecnicos[coordinador],"")</f>
        <v/>
      </c>
      <c r="K1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6" s="3">
        <f>tblAsignaciones[[#This Row],[semana]]&amp;"|"&amp;tblAsignaciones[[#This Row],[dia]]&amp;"|"&amp;tblAsignaciones[[#This Row],[tecnico]]</f>
        <v/>
      </c>
      <c r="N136" s="3">
        <f>_xlfn.XLOOKUP(tblAsignaciones[[#This Row],[turno]],tblTurnos[turno],tblTurnos[hora_inicio],"")</f>
        <v/>
      </c>
      <c r="O136" s="3">
        <f>_xlfn.XLOOKUP(tblAsignaciones[[#This Row],[turno]],tblTurnos[turno],tblTurnos[hora_fin],"")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04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3">
        <f>COUNTIFS(tblTecnicos[rotativo],"SI",tblTecnicos[especialidad],tblAsignaciones[[#This Row],[especialidad]],tblTecnicos[area],tblAsignaciones[[#This Row],[area]])</f>
        <v/>
      </c>
      <c r="G1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6" t="n"/>
      <c r="I137" s="3">
        <f>IF(tblAsignaciones[[#This Row],[turno_manual]]&lt;&gt;"",tblAsignaciones[[#This Row],[turno_manual]],IF(LEFT(tblAsignaciones[[#This Row],[posicion_ciclo]],1)="B","B",tblAsignaciones[[#This Row],[posicion_ciclo]]))</f>
        <v/>
      </c>
      <c r="J137" s="3">
        <f>_xlfn.XLOOKUP(tblAsignaciones[[#This Row],[tecnico]],tblTecnicos[nombre],tblTecnicos[coordinador],"")</f>
        <v/>
      </c>
      <c r="K1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7" s="3">
        <f>tblAsignaciones[[#This Row],[semana]]&amp;"|"&amp;tblAsignaciones[[#This Row],[dia]]&amp;"|"&amp;tblAsignaciones[[#This Row],[tecnico]]</f>
        <v/>
      </c>
      <c r="N137" s="3">
        <f>_xlfn.XLOOKUP(tblAsignaciones[[#This Row],[turno]],tblTurnos[turno],tblTurnos[hora_inicio],"")</f>
        <v/>
      </c>
      <c r="O137" s="3">
        <f>_xlfn.XLOOKUP(tblAsignaciones[[#This Row],[turno]],tblTurnos[turno],tblTurnos[hora_fin],"")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04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3">
        <f>COUNTIFS(tblTecnicos[rotativo],"SI",tblTecnicos[especialidad],tblAsignaciones[[#This Row],[especialidad]],tblTecnicos[area],tblAsignaciones[[#This Row],[area]])</f>
        <v/>
      </c>
      <c r="G1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6" t="n"/>
      <c r="I138" s="3">
        <f>IF(tblAsignaciones[[#This Row],[turno_manual]]&lt;&gt;"",tblAsignaciones[[#This Row],[turno_manual]],IF(LEFT(tblAsignaciones[[#This Row],[posicion_ciclo]],1)="B","B",tblAsignaciones[[#This Row],[posicion_ciclo]]))</f>
        <v/>
      </c>
      <c r="J138" s="3">
        <f>_xlfn.XLOOKUP(tblAsignaciones[[#This Row],[tecnico]],tblTecnicos[nombre],tblTecnicos[coordinador],"")</f>
        <v/>
      </c>
      <c r="K1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8" s="3">
        <f>tblAsignaciones[[#This Row],[semana]]&amp;"|"&amp;tblAsignaciones[[#This Row],[dia]]&amp;"|"&amp;tblAsignaciones[[#This Row],[tecnico]]</f>
        <v/>
      </c>
      <c r="N138" s="3">
        <f>_xlfn.XLOOKUP(tblAsignaciones[[#This Row],[turno]],tblTurnos[turno],tblTurnos[hora_inicio],"")</f>
        <v/>
      </c>
      <c r="O138" s="3">
        <f>_xlfn.XLOOKUP(tblAsignaciones[[#This Row],[turno]],tblTurnos[turno],tblTurnos[hora_fin],"")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04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3">
        <f>COUNTIFS(tblTecnicos[rotativo],"SI",tblTecnicos[especialidad],tblAsignaciones[[#This Row],[especialidad]],tblTecnicos[area],tblAsignaciones[[#This Row],[area]])</f>
        <v/>
      </c>
      <c r="G1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6" t="n"/>
      <c r="I139" s="3">
        <f>IF(tblAsignaciones[[#This Row],[turno_manual]]&lt;&gt;"",tblAsignaciones[[#This Row],[turno_manual]],IF(LEFT(tblAsignaciones[[#This Row],[posicion_ciclo]],1)="B","B",tblAsignaciones[[#This Row],[posicion_ciclo]]))</f>
        <v/>
      </c>
      <c r="J139" s="3">
        <f>_xlfn.XLOOKUP(tblAsignaciones[[#This Row],[tecnico]],tblTecnicos[nombre],tblTecnicos[coordinador],"")</f>
        <v/>
      </c>
      <c r="K1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39" s="3">
        <f>tblAsignaciones[[#This Row],[semana]]&amp;"|"&amp;tblAsignaciones[[#This Row],[dia]]&amp;"|"&amp;tblAsignaciones[[#This Row],[tecnico]]</f>
        <v/>
      </c>
      <c r="N139" s="3">
        <f>_xlfn.XLOOKUP(tblAsignaciones[[#This Row],[turno]],tblTurnos[turno],tblTurnos[hora_inicio],"")</f>
        <v/>
      </c>
      <c r="O139" s="3">
        <f>_xlfn.XLOOKUP(tblAsignaciones[[#This Row],[turno]],tblTurnos[turno],tblTurnos[hora_fin],"")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04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3">
        <f>COUNTIFS(tblTecnicos[rotativo],"SI",tblTecnicos[especialidad],tblAsignaciones[[#This Row],[especialidad]],tblTecnicos[area],tblAsignaciones[[#This Row],[area]])</f>
        <v/>
      </c>
      <c r="G1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6" t="n"/>
      <c r="I140" s="3">
        <f>IF(tblAsignaciones[[#This Row],[turno_manual]]&lt;&gt;"",tblAsignaciones[[#This Row],[turno_manual]],IF(LEFT(tblAsignaciones[[#This Row],[posicion_ciclo]],1)="B","B",tblAsignaciones[[#This Row],[posicion_ciclo]]))</f>
        <v/>
      </c>
      <c r="J140" s="3">
        <f>_xlfn.XLOOKUP(tblAsignaciones[[#This Row],[tecnico]],tblTecnicos[nombre],tblTecnicos[coordinador],"")</f>
        <v/>
      </c>
      <c r="K1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0" s="3">
        <f>tblAsignaciones[[#This Row],[semana]]&amp;"|"&amp;tblAsignaciones[[#This Row],[dia]]&amp;"|"&amp;tblAsignaciones[[#This Row],[tecnico]]</f>
        <v/>
      </c>
      <c r="N140" s="3">
        <f>_xlfn.XLOOKUP(tblAsignaciones[[#This Row],[turno]],tblTurnos[turno],tblTurnos[hora_inicio],"")</f>
        <v/>
      </c>
      <c r="O140" s="3">
        <f>_xlfn.XLOOKUP(tblAsignaciones[[#This Row],[turno]],tblTurnos[turno],tblTurnos[hora_fin],"")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04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3">
        <f>COUNTIFS(tblTecnicos[rotativo],"SI",tblTecnicos[especialidad],tblAsignaciones[[#This Row],[especialidad]],tblTecnicos[area],tblAsignaciones[[#This Row],[area]])</f>
        <v/>
      </c>
      <c r="G1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6" t="n"/>
      <c r="I141" s="3">
        <f>IF(tblAsignaciones[[#This Row],[turno_manual]]&lt;&gt;"",tblAsignaciones[[#This Row],[turno_manual]],IF(LEFT(tblAsignaciones[[#This Row],[posicion_ciclo]],1)="B","B",tblAsignaciones[[#This Row],[posicion_ciclo]]))</f>
        <v/>
      </c>
      <c r="J141" s="3">
        <f>_xlfn.XLOOKUP(tblAsignaciones[[#This Row],[tecnico]],tblTecnicos[nombre],tblTecnicos[coordinador],"")</f>
        <v/>
      </c>
      <c r="K1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1" s="3">
        <f>tblAsignaciones[[#This Row],[semana]]&amp;"|"&amp;tblAsignaciones[[#This Row],[dia]]&amp;"|"&amp;tblAsignaciones[[#This Row],[tecnico]]</f>
        <v/>
      </c>
      <c r="N141" s="3">
        <f>_xlfn.XLOOKUP(tblAsignaciones[[#This Row],[turno]],tblTurnos[turno],tblTurnos[hora_inicio],"")</f>
        <v/>
      </c>
      <c r="O141" s="3">
        <f>_xlfn.XLOOKUP(tblAsignaciones[[#This Row],[turno]],tblTurnos[turno],tblTurnos[hora_fin],"")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04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3">
        <f>COUNTIFS(tblTecnicos[rotativo],"SI",tblTecnicos[especialidad],tblAsignaciones[[#This Row],[especialidad]],tblTecnicos[area],tblAsignaciones[[#This Row],[area]])</f>
        <v/>
      </c>
      <c r="G1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6" t="n"/>
      <c r="I142" s="3">
        <f>IF(tblAsignaciones[[#This Row],[turno_manual]]&lt;&gt;"",tblAsignaciones[[#This Row],[turno_manual]],IF(LEFT(tblAsignaciones[[#This Row],[posicion_ciclo]],1)="B","B",tblAsignaciones[[#This Row],[posicion_ciclo]]))</f>
        <v/>
      </c>
      <c r="J142" s="3">
        <f>_xlfn.XLOOKUP(tblAsignaciones[[#This Row],[tecnico]],tblTecnicos[nombre],tblTecnicos[coordinador],"")</f>
        <v/>
      </c>
      <c r="K1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2" s="3">
        <f>tblAsignaciones[[#This Row],[semana]]&amp;"|"&amp;tblAsignaciones[[#This Row],[dia]]&amp;"|"&amp;tblAsignaciones[[#This Row],[tecnico]]</f>
        <v/>
      </c>
      <c r="N142" s="3">
        <f>_xlfn.XLOOKUP(tblAsignaciones[[#This Row],[turno]],tblTurnos[turno],tblTurnos[hora_inicio],"")</f>
        <v/>
      </c>
      <c r="O142" s="3">
        <f>_xlfn.XLOOKUP(tblAsignaciones[[#This Row],[turno]],tblTurnos[turno],tblTurnos[hora_fin],"")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04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3">
        <f>COUNTIFS(tblTecnicos[rotativo],"SI",tblTecnicos[especialidad],tblAsignaciones[[#This Row],[especialidad]],tblTecnicos[area],tblAsignaciones[[#This Row],[area]])</f>
        <v/>
      </c>
      <c r="G1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6" t="n"/>
      <c r="I143" s="3">
        <f>IF(tblAsignaciones[[#This Row],[turno_manual]]&lt;&gt;"",tblAsignaciones[[#This Row],[turno_manual]],IF(LEFT(tblAsignaciones[[#This Row],[posicion_ciclo]],1)="B","B",tblAsignaciones[[#This Row],[posicion_ciclo]]))</f>
        <v/>
      </c>
      <c r="J143" s="3">
        <f>_xlfn.XLOOKUP(tblAsignaciones[[#This Row],[tecnico]],tblTecnicos[nombre],tblTecnicos[coordinador],"")</f>
        <v/>
      </c>
      <c r="K1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3" s="3">
        <f>tblAsignaciones[[#This Row],[semana]]&amp;"|"&amp;tblAsignaciones[[#This Row],[dia]]&amp;"|"&amp;tblAsignaciones[[#This Row],[tecnico]]</f>
        <v/>
      </c>
      <c r="N143" s="3">
        <f>_xlfn.XLOOKUP(tblAsignaciones[[#This Row],[turno]],tblTurnos[turno],tblTurnos[hora_inicio],"")</f>
        <v/>
      </c>
      <c r="O143" s="3">
        <f>_xlfn.XLOOKUP(tblAsignaciones[[#This Row],[turno]],tblTurnos[turno],tblTurnos[hora_fin],"")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05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3">
        <f>COUNTIFS(tblTecnicos[rotativo],"SI",tblTecnicos[especialidad],tblAsignaciones[[#This Row],[especialidad]],tblTecnicos[area],tblAsignaciones[[#This Row],[area]])</f>
        <v/>
      </c>
      <c r="G1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6" t="n"/>
      <c r="I144" s="3">
        <f>IF(tblAsignaciones[[#This Row],[turno_manual]]&lt;&gt;"",tblAsignaciones[[#This Row],[turno_manual]],IF(LEFT(tblAsignaciones[[#This Row],[posicion_ciclo]],1)="B","B",tblAsignaciones[[#This Row],[posicion_ciclo]]))</f>
        <v/>
      </c>
      <c r="J144" s="3">
        <f>_xlfn.XLOOKUP(tblAsignaciones[[#This Row],[tecnico]],tblTecnicos[nombre],tblTecnicos[coordinador],"")</f>
        <v/>
      </c>
      <c r="K1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4" s="3">
        <f>tblAsignaciones[[#This Row],[semana]]&amp;"|"&amp;tblAsignaciones[[#This Row],[dia]]&amp;"|"&amp;tblAsignaciones[[#This Row],[tecnico]]</f>
        <v/>
      </c>
      <c r="N144" s="3">
        <f>_xlfn.XLOOKUP(tblAsignaciones[[#This Row],[turno]],tblTurnos[turno],tblTurnos[hora_inicio],"")</f>
        <v/>
      </c>
      <c r="O144" s="3">
        <f>_xlfn.XLOOKUP(tblAsignaciones[[#This Row],[turno]],tblTurnos[turno],tblTurnos[hora_fin],"")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05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3">
        <f>COUNTIFS(tblTecnicos[rotativo],"SI",tblTecnicos[especialidad],tblAsignaciones[[#This Row],[especialidad]],tblTecnicos[area],tblAsignaciones[[#This Row],[area]])</f>
        <v/>
      </c>
      <c r="G1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6" t="n"/>
      <c r="I145" s="3">
        <f>IF(tblAsignaciones[[#This Row],[turno_manual]]&lt;&gt;"",tblAsignaciones[[#This Row],[turno_manual]],IF(LEFT(tblAsignaciones[[#This Row],[posicion_ciclo]],1)="B","B",tblAsignaciones[[#This Row],[posicion_ciclo]]))</f>
        <v/>
      </c>
      <c r="J145" s="3">
        <f>_xlfn.XLOOKUP(tblAsignaciones[[#This Row],[tecnico]],tblTecnicos[nombre],tblTecnicos[coordinador],"")</f>
        <v/>
      </c>
      <c r="K1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5" s="3">
        <f>tblAsignaciones[[#This Row],[semana]]&amp;"|"&amp;tblAsignaciones[[#This Row],[dia]]&amp;"|"&amp;tblAsignaciones[[#This Row],[tecnico]]</f>
        <v/>
      </c>
      <c r="N145" s="3">
        <f>_xlfn.XLOOKUP(tblAsignaciones[[#This Row],[turno]],tblTurnos[turno],tblTurnos[hora_inicio],"")</f>
        <v/>
      </c>
      <c r="O145" s="3">
        <f>_xlfn.XLOOKUP(tblAsignaciones[[#This Row],[turno]],tblTurnos[turno],tblTurnos[hora_fin],"")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05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3">
        <f>COUNTIFS(tblTecnicos[rotativo],"SI",tblTecnicos[especialidad],tblAsignaciones[[#This Row],[especialidad]],tblTecnicos[area],tblAsignaciones[[#This Row],[area]])</f>
        <v/>
      </c>
      <c r="G1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6" t="n"/>
      <c r="I146" s="3">
        <f>IF(tblAsignaciones[[#This Row],[turno_manual]]&lt;&gt;"",tblAsignaciones[[#This Row],[turno_manual]],IF(LEFT(tblAsignaciones[[#This Row],[posicion_ciclo]],1)="B","B",tblAsignaciones[[#This Row],[posicion_ciclo]]))</f>
        <v/>
      </c>
      <c r="J146" s="3">
        <f>_xlfn.XLOOKUP(tblAsignaciones[[#This Row],[tecnico]],tblTecnicos[nombre],tblTecnicos[coordinador],"")</f>
        <v/>
      </c>
      <c r="K1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6" s="3">
        <f>tblAsignaciones[[#This Row],[semana]]&amp;"|"&amp;tblAsignaciones[[#This Row],[dia]]&amp;"|"&amp;tblAsignaciones[[#This Row],[tecnico]]</f>
        <v/>
      </c>
      <c r="N146" s="3">
        <f>_xlfn.XLOOKUP(tblAsignaciones[[#This Row],[turno]],tblTurnos[turno],tblTurnos[hora_inicio],"")</f>
        <v/>
      </c>
      <c r="O146" s="3">
        <f>_xlfn.XLOOKUP(tblAsignaciones[[#This Row],[turno]],tblTurnos[turno],tblTurnos[hora_fin],"")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05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3">
        <f>COUNTIFS(tblTecnicos[rotativo],"SI",tblTecnicos[especialidad],tblAsignaciones[[#This Row],[especialidad]],tblTecnicos[area],tblAsignaciones[[#This Row],[area]])</f>
        <v/>
      </c>
      <c r="G1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6" t="n"/>
      <c r="I147" s="3">
        <f>IF(tblAsignaciones[[#This Row],[turno_manual]]&lt;&gt;"",tblAsignaciones[[#This Row],[turno_manual]],IF(LEFT(tblAsignaciones[[#This Row],[posicion_ciclo]],1)="B","B",tblAsignaciones[[#This Row],[posicion_ciclo]]))</f>
        <v/>
      </c>
      <c r="J147" s="3">
        <f>_xlfn.XLOOKUP(tblAsignaciones[[#This Row],[tecnico]],tblTecnicos[nombre],tblTecnicos[coordinador],"")</f>
        <v/>
      </c>
      <c r="K1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7" s="3">
        <f>tblAsignaciones[[#This Row],[semana]]&amp;"|"&amp;tblAsignaciones[[#This Row],[dia]]&amp;"|"&amp;tblAsignaciones[[#This Row],[tecnico]]</f>
        <v/>
      </c>
      <c r="N147" s="3">
        <f>_xlfn.XLOOKUP(tblAsignaciones[[#This Row],[turno]],tblTurnos[turno],tblTurnos[hora_inicio],"")</f>
        <v/>
      </c>
      <c r="O147" s="3">
        <f>_xlfn.XLOOKUP(tblAsignaciones[[#This Row],[turno]],tblTurnos[turno],tblTurnos[hora_fin],"")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05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3">
        <f>COUNTIFS(tblTecnicos[rotativo],"SI",tblTecnicos[especialidad],tblAsignaciones[[#This Row],[especialidad]],tblTecnicos[area],tblAsignaciones[[#This Row],[area]])</f>
        <v/>
      </c>
      <c r="G1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6" t="n"/>
      <c r="I148" s="3">
        <f>IF(tblAsignaciones[[#This Row],[turno_manual]]&lt;&gt;"",tblAsignaciones[[#This Row],[turno_manual]],IF(LEFT(tblAsignaciones[[#This Row],[posicion_ciclo]],1)="B","B",tblAsignaciones[[#This Row],[posicion_ciclo]]))</f>
        <v/>
      </c>
      <c r="J148" s="3">
        <f>_xlfn.XLOOKUP(tblAsignaciones[[#This Row],[tecnico]],tblTecnicos[nombre],tblTecnicos[coordinador],"")</f>
        <v/>
      </c>
      <c r="K1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8" s="3">
        <f>tblAsignaciones[[#This Row],[semana]]&amp;"|"&amp;tblAsignaciones[[#This Row],[dia]]&amp;"|"&amp;tblAsignaciones[[#This Row],[tecnico]]</f>
        <v/>
      </c>
      <c r="N148" s="3">
        <f>_xlfn.XLOOKUP(tblAsignaciones[[#This Row],[turno]],tblTurnos[turno],tblTurnos[hora_inicio],"")</f>
        <v/>
      </c>
      <c r="O148" s="3">
        <f>_xlfn.XLOOKUP(tblAsignaciones[[#This Row],[turno]],tblTurnos[turno],tblTurnos[hora_fin],"")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05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3">
        <f>COUNTIFS(tblTecnicos[rotativo],"SI",tblTecnicos[especialidad],tblAsignaciones[[#This Row],[especialidad]],tblTecnicos[area],tblAsignaciones[[#This Row],[area]])</f>
        <v/>
      </c>
      <c r="G1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6" t="n"/>
      <c r="I149" s="3">
        <f>IF(tblAsignaciones[[#This Row],[turno_manual]]&lt;&gt;"",tblAsignaciones[[#This Row],[turno_manual]],IF(LEFT(tblAsignaciones[[#This Row],[posicion_ciclo]],1)="B","B",tblAsignaciones[[#This Row],[posicion_ciclo]]))</f>
        <v/>
      </c>
      <c r="J149" s="3">
        <f>_xlfn.XLOOKUP(tblAsignaciones[[#This Row],[tecnico]],tblTecnicos[nombre],tblTecnicos[coordinador],"")</f>
        <v/>
      </c>
      <c r="K1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49" s="3">
        <f>tblAsignaciones[[#This Row],[semana]]&amp;"|"&amp;tblAsignaciones[[#This Row],[dia]]&amp;"|"&amp;tblAsignaciones[[#This Row],[tecnico]]</f>
        <v/>
      </c>
      <c r="N149" s="3">
        <f>_xlfn.XLOOKUP(tblAsignaciones[[#This Row],[turno]],tblTurnos[turno],tblTurnos[hora_inicio],"")</f>
        <v/>
      </c>
      <c r="O149" s="3">
        <f>_xlfn.XLOOKUP(tblAsignaciones[[#This Row],[turno]],tblTurnos[turno],tblTurnos[hora_fin],"")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05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3">
        <f>COUNTIFS(tblTecnicos[rotativo],"SI",tblTecnicos[especialidad],tblAsignaciones[[#This Row],[especialidad]],tblTecnicos[area],tblAsignaciones[[#This Row],[area]])</f>
        <v/>
      </c>
      <c r="G1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6" t="n"/>
      <c r="I150" s="3">
        <f>IF(tblAsignaciones[[#This Row],[turno_manual]]&lt;&gt;"",tblAsignaciones[[#This Row],[turno_manual]],IF(LEFT(tblAsignaciones[[#This Row],[posicion_ciclo]],1)="B","B",tblAsignaciones[[#This Row],[posicion_ciclo]]))</f>
        <v/>
      </c>
      <c r="J150" s="3">
        <f>_xlfn.XLOOKUP(tblAsignaciones[[#This Row],[tecnico]],tblTecnicos[nombre],tblTecnicos[coordinador],"")</f>
        <v/>
      </c>
      <c r="K1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0" s="3">
        <f>tblAsignaciones[[#This Row],[semana]]&amp;"|"&amp;tblAsignaciones[[#This Row],[dia]]&amp;"|"&amp;tblAsignaciones[[#This Row],[tecnico]]</f>
        <v/>
      </c>
      <c r="N150" s="3">
        <f>_xlfn.XLOOKUP(tblAsignaciones[[#This Row],[turno]],tblTurnos[turno],tblTurnos[hora_inicio],"")</f>
        <v/>
      </c>
      <c r="O150" s="3">
        <f>_xlfn.XLOOKUP(tblAsignaciones[[#This Row],[turno]],tblTurnos[turno],tblTurnos[hora_fin],"")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06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3">
        <f>COUNTIFS(tblTecnicos[rotativo],"SI",tblTecnicos[especialidad],tblAsignaciones[[#This Row],[especialidad]],tblTecnicos[area],tblAsignaciones[[#This Row],[area]])</f>
        <v/>
      </c>
      <c r="G1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6" t="n"/>
      <c r="I151" s="3">
        <f>IF(tblAsignaciones[[#This Row],[turno_manual]]&lt;&gt;"",tblAsignaciones[[#This Row],[turno_manual]],IF(LEFT(tblAsignaciones[[#This Row],[posicion_ciclo]],1)="B","B",tblAsignaciones[[#This Row],[posicion_ciclo]]))</f>
        <v/>
      </c>
      <c r="J151" s="3">
        <f>_xlfn.XLOOKUP(tblAsignaciones[[#This Row],[tecnico]],tblTecnicos[nombre],tblTecnicos[coordinador],"")</f>
        <v/>
      </c>
      <c r="K1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1" s="3">
        <f>tblAsignaciones[[#This Row],[semana]]&amp;"|"&amp;tblAsignaciones[[#This Row],[dia]]&amp;"|"&amp;tblAsignaciones[[#This Row],[tecnico]]</f>
        <v/>
      </c>
      <c r="N151" s="3">
        <f>_xlfn.XLOOKUP(tblAsignaciones[[#This Row],[turno]],tblTurnos[turno],tblTurnos[hora_inicio],"")</f>
        <v/>
      </c>
      <c r="O151" s="3">
        <f>_xlfn.XLOOKUP(tblAsignaciones[[#This Row],[turno]],tblTurnos[turno],tblTurnos[hora_fin],"")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06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3">
        <f>COUNTIFS(tblTecnicos[rotativo],"SI",tblTecnicos[especialidad],tblAsignaciones[[#This Row],[especialidad]],tblTecnicos[area],tblAsignaciones[[#This Row],[area]])</f>
        <v/>
      </c>
      <c r="G1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6" t="n"/>
      <c r="I152" s="3">
        <f>IF(tblAsignaciones[[#This Row],[turno_manual]]&lt;&gt;"",tblAsignaciones[[#This Row],[turno_manual]],IF(LEFT(tblAsignaciones[[#This Row],[posicion_ciclo]],1)="B","B",tblAsignaciones[[#This Row],[posicion_ciclo]]))</f>
        <v/>
      </c>
      <c r="J152" s="3">
        <f>_xlfn.XLOOKUP(tblAsignaciones[[#This Row],[tecnico]],tblTecnicos[nombre],tblTecnicos[coordinador],"")</f>
        <v/>
      </c>
      <c r="K1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2" s="3">
        <f>tblAsignaciones[[#This Row],[semana]]&amp;"|"&amp;tblAsignaciones[[#This Row],[dia]]&amp;"|"&amp;tblAsignaciones[[#This Row],[tecnico]]</f>
        <v/>
      </c>
      <c r="N152" s="3">
        <f>_xlfn.XLOOKUP(tblAsignaciones[[#This Row],[turno]],tblTurnos[turno],tblTurnos[hora_inicio],"")</f>
        <v/>
      </c>
      <c r="O152" s="3">
        <f>_xlfn.XLOOKUP(tblAsignaciones[[#This Row],[turno]],tblTurnos[turno],tblTurnos[hora_fin],"")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06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3">
        <f>COUNTIFS(tblTecnicos[rotativo],"SI",tblTecnicos[especialidad],tblAsignaciones[[#This Row],[especialidad]],tblTecnicos[area],tblAsignaciones[[#This Row],[area]])</f>
        <v/>
      </c>
      <c r="G1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6" t="n"/>
      <c r="I153" s="3">
        <f>IF(tblAsignaciones[[#This Row],[turno_manual]]&lt;&gt;"",tblAsignaciones[[#This Row],[turno_manual]],IF(LEFT(tblAsignaciones[[#This Row],[posicion_ciclo]],1)="B","B",tblAsignaciones[[#This Row],[posicion_ciclo]]))</f>
        <v/>
      </c>
      <c r="J153" s="3">
        <f>_xlfn.XLOOKUP(tblAsignaciones[[#This Row],[tecnico]],tblTecnicos[nombre],tblTecnicos[coordinador],"")</f>
        <v/>
      </c>
      <c r="K1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3" s="3">
        <f>tblAsignaciones[[#This Row],[semana]]&amp;"|"&amp;tblAsignaciones[[#This Row],[dia]]&amp;"|"&amp;tblAsignaciones[[#This Row],[tecnico]]</f>
        <v/>
      </c>
      <c r="N153" s="3">
        <f>_xlfn.XLOOKUP(tblAsignaciones[[#This Row],[turno]],tblTurnos[turno],tblTurnos[hora_inicio],"")</f>
        <v/>
      </c>
      <c r="O153" s="3">
        <f>_xlfn.XLOOKUP(tblAsignaciones[[#This Row],[turno]],tblTurnos[turno],tblTurnos[hora_fin],"")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06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3">
        <f>COUNTIFS(tblTecnicos[rotativo],"SI",tblTecnicos[especialidad],tblAsignaciones[[#This Row],[especialidad]],tblTecnicos[area],tblAsignaciones[[#This Row],[area]])</f>
        <v/>
      </c>
      <c r="G1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6" t="n"/>
      <c r="I154" s="3">
        <f>IF(tblAsignaciones[[#This Row],[turno_manual]]&lt;&gt;"",tblAsignaciones[[#This Row],[turno_manual]],IF(LEFT(tblAsignaciones[[#This Row],[posicion_ciclo]],1)="B","B",tblAsignaciones[[#This Row],[posicion_ciclo]]))</f>
        <v/>
      </c>
      <c r="J154" s="3">
        <f>_xlfn.XLOOKUP(tblAsignaciones[[#This Row],[tecnico]],tblTecnicos[nombre],tblTecnicos[coordinador],"")</f>
        <v/>
      </c>
      <c r="K1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4" s="3">
        <f>tblAsignaciones[[#This Row],[semana]]&amp;"|"&amp;tblAsignaciones[[#This Row],[dia]]&amp;"|"&amp;tblAsignaciones[[#This Row],[tecnico]]</f>
        <v/>
      </c>
      <c r="N154" s="3">
        <f>_xlfn.XLOOKUP(tblAsignaciones[[#This Row],[turno]],tblTurnos[turno],tblTurnos[hora_inicio],"")</f>
        <v/>
      </c>
      <c r="O154" s="3">
        <f>_xlfn.XLOOKUP(tblAsignaciones[[#This Row],[turno]],tblTurnos[turno],tblTurnos[hora_fin],"")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06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3">
        <f>COUNTIFS(tblTecnicos[rotativo],"SI",tblTecnicos[especialidad],tblAsignaciones[[#This Row],[especialidad]],tblTecnicos[area],tblAsignaciones[[#This Row],[area]])</f>
        <v/>
      </c>
      <c r="G1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6" t="n"/>
      <c r="I155" s="3">
        <f>IF(tblAsignaciones[[#This Row],[turno_manual]]&lt;&gt;"",tblAsignaciones[[#This Row],[turno_manual]],IF(LEFT(tblAsignaciones[[#This Row],[posicion_ciclo]],1)="B","B",tblAsignaciones[[#This Row],[posicion_ciclo]]))</f>
        <v/>
      </c>
      <c r="J155" s="3">
        <f>_xlfn.XLOOKUP(tblAsignaciones[[#This Row],[tecnico]],tblTecnicos[nombre],tblTecnicos[coordinador],"")</f>
        <v/>
      </c>
      <c r="K1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5" s="3">
        <f>tblAsignaciones[[#This Row],[semana]]&amp;"|"&amp;tblAsignaciones[[#This Row],[dia]]&amp;"|"&amp;tblAsignaciones[[#This Row],[tecnico]]</f>
        <v/>
      </c>
      <c r="N155" s="3">
        <f>_xlfn.XLOOKUP(tblAsignaciones[[#This Row],[turno]],tblTurnos[turno],tblTurnos[hora_inicio],"")</f>
        <v/>
      </c>
      <c r="O155" s="3">
        <f>_xlfn.XLOOKUP(tblAsignaciones[[#This Row],[turno]],tblTurnos[turno],tblTurnos[hora_fin],"")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06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3">
        <f>COUNTIFS(tblTecnicos[rotativo],"SI",tblTecnicos[especialidad],tblAsignaciones[[#This Row],[especialidad]],tblTecnicos[area],tblAsignaciones[[#This Row],[area]])</f>
        <v/>
      </c>
      <c r="G1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6" t="n"/>
      <c r="I156" s="3">
        <f>IF(tblAsignaciones[[#This Row],[turno_manual]]&lt;&gt;"",tblAsignaciones[[#This Row],[turno_manual]],IF(LEFT(tblAsignaciones[[#This Row],[posicion_ciclo]],1)="B","B",tblAsignaciones[[#This Row],[posicion_ciclo]]))</f>
        <v/>
      </c>
      <c r="J156" s="3">
        <f>_xlfn.XLOOKUP(tblAsignaciones[[#This Row],[tecnico]],tblTecnicos[nombre],tblTecnicos[coordinador],"")</f>
        <v/>
      </c>
      <c r="K1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6" s="3">
        <f>tblAsignaciones[[#This Row],[semana]]&amp;"|"&amp;tblAsignaciones[[#This Row],[dia]]&amp;"|"&amp;tblAsignaciones[[#This Row],[tecnico]]</f>
        <v/>
      </c>
      <c r="N156" s="3">
        <f>_xlfn.XLOOKUP(tblAsignaciones[[#This Row],[turno]],tblTurnos[turno],tblTurnos[hora_inicio],"")</f>
        <v/>
      </c>
      <c r="O156" s="3">
        <f>_xlfn.XLOOKUP(tblAsignaciones[[#This Row],[turno]],tblTurnos[turno],tblTurnos[hora_fin],"")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06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3">
        <f>COUNTIFS(tblTecnicos[rotativo],"SI",tblTecnicos[especialidad],tblAsignaciones[[#This Row],[especialidad]],tblTecnicos[area],tblAsignaciones[[#This Row],[area]])</f>
        <v/>
      </c>
      <c r="G1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6" t="n"/>
      <c r="I157" s="3">
        <f>IF(tblAsignaciones[[#This Row],[turno_manual]]&lt;&gt;"",tblAsignaciones[[#This Row],[turno_manual]],IF(LEFT(tblAsignaciones[[#This Row],[posicion_ciclo]],1)="B","B",tblAsignaciones[[#This Row],[posicion_ciclo]]))</f>
        <v/>
      </c>
      <c r="J157" s="3">
        <f>_xlfn.XLOOKUP(tblAsignaciones[[#This Row],[tecnico]],tblTecnicos[nombre],tblTecnicos[coordinador],"")</f>
        <v/>
      </c>
      <c r="K1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7" s="3">
        <f>tblAsignaciones[[#This Row],[semana]]&amp;"|"&amp;tblAsignaciones[[#This Row],[dia]]&amp;"|"&amp;tblAsignaciones[[#This Row],[tecnico]]</f>
        <v/>
      </c>
      <c r="N157" s="3">
        <f>_xlfn.XLOOKUP(tblAsignaciones[[#This Row],[turno]],tblTurnos[turno],tblTurnos[hora_inicio],"")</f>
        <v/>
      </c>
      <c r="O157" s="3">
        <f>_xlfn.XLOOKUP(tblAsignaciones[[#This Row],[turno]],tblTurnos[turno],tblTurnos[hora_fin],"")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07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3">
        <f>COUNTIFS(tblTecnicos[rotativo],"SI",tblTecnicos[especialidad],tblAsignaciones[[#This Row],[especialidad]],tblTecnicos[area],tblAsignaciones[[#This Row],[area]])</f>
        <v/>
      </c>
      <c r="G1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6" t="n"/>
      <c r="I158" s="3">
        <f>IF(tblAsignaciones[[#This Row],[turno_manual]]&lt;&gt;"",tblAsignaciones[[#This Row],[turno_manual]],IF(LEFT(tblAsignaciones[[#This Row],[posicion_ciclo]],1)="B","B",tblAsignaciones[[#This Row],[posicion_ciclo]]))</f>
        <v/>
      </c>
      <c r="J158" s="3">
        <f>_xlfn.XLOOKUP(tblAsignaciones[[#This Row],[tecnico]],tblTecnicos[nombre],tblTecnicos[coordinador],"")</f>
        <v/>
      </c>
      <c r="K1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8" s="3">
        <f>tblAsignaciones[[#This Row],[semana]]&amp;"|"&amp;tblAsignaciones[[#This Row],[dia]]&amp;"|"&amp;tblAsignaciones[[#This Row],[tecnico]]</f>
        <v/>
      </c>
      <c r="N158" s="3">
        <f>_xlfn.XLOOKUP(tblAsignaciones[[#This Row],[turno]],tblTurnos[turno],tblTurnos[hora_inicio],"")</f>
        <v/>
      </c>
      <c r="O158" s="3">
        <f>_xlfn.XLOOKUP(tblAsignaciones[[#This Row],[turno]],tblTurnos[turno],tblTurnos[hora_fin],"")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07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3">
        <f>COUNTIFS(tblTecnicos[rotativo],"SI",tblTecnicos[especialidad],tblAsignaciones[[#This Row],[especialidad]],tblTecnicos[area],tblAsignaciones[[#This Row],[area]])</f>
        <v/>
      </c>
      <c r="G1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6" t="n"/>
      <c r="I159" s="3">
        <f>IF(tblAsignaciones[[#This Row],[turno_manual]]&lt;&gt;"",tblAsignaciones[[#This Row],[turno_manual]],IF(LEFT(tblAsignaciones[[#This Row],[posicion_ciclo]],1)="B","B",tblAsignaciones[[#This Row],[posicion_ciclo]]))</f>
        <v/>
      </c>
      <c r="J159" s="3">
        <f>_xlfn.XLOOKUP(tblAsignaciones[[#This Row],[tecnico]],tblTecnicos[nombre],tblTecnicos[coordinador],"")</f>
        <v/>
      </c>
      <c r="K1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59" s="3">
        <f>tblAsignaciones[[#This Row],[semana]]&amp;"|"&amp;tblAsignaciones[[#This Row],[dia]]&amp;"|"&amp;tblAsignaciones[[#This Row],[tecnico]]</f>
        <v/>
      </c>
      <c r="N159" s="3">
        <f>_xlfn.XLOOKUP(tblAsignaciones[[#This Row],[turno]],tblTurnos[turno],tblTurnos[hora_inicio],"")</f>
        <v/>
      </c>
      <c r="O159" s="3">
        <f>_xlfn.XLOOKUP(tblAsignaciones[[#This Row],[turno]],tblTurnos[turno],tblTurnos[hora_fin],"")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07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3">
        <f>COUNTIFS(tblTecnicos[rotativo],"SI",tblTecnicos[especialidad],tblAsignaciones[[#This Row],[especialidad]],tblTecnicos[area],tblAsignaciones[[#This Row],[area]])</f>
        <v/>
      </c>
      <c r="G1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6" t="n"/>
      <c r="I160" s="3">
        <f>IF(tblAsignaciones[[#This Row],[turno_manual]]&lt;&gt;"",tblAsignaciones[[#This Row],[turno_manual]],IF(LEFT(tblAsignaciones[[#This Row],[posicion_ciclo]],1)="B","B",tblAsignaciones[[#This Row],[posicion_ciclo]]))</f>
        <v/>
      </c>
      <c r="J160" s="3">
        <f>_xlfn.XLOOKUP(tblAsignaciones[[#This Row],[tecnico]],tblTecnicos[nombre],tblTecnicos[coordinador],"")</f>
        <v/>
      </c>
      <c r="K1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0" s="3">
        <f>tblAsignaciones[[#This Row],[semana]]&amp;"|"&amp;tblAsignaciones[[#This Row],[dia]]&amp;"|"&amp;tblAsignaciones[[#This Row],[tecnico]]</f>
        <v/>
      </c>
      <c r="N160" s="3">
        <f>_xlfn.XLOOKUP(tblAsignaciones[[#This Row],[turno]],tblTurnos[turno],tblTurnos[hora_inicio],"")</f>
        <v/>
      </c>
      <c r="O160" s="3">
        <f>_xlfn.XLOOKUP(tblAsignaciones[[#This Row],[turno]],tblTurnos[turno],tblTurnos[hora_fin],"")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07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3">
        <f>COUNTIFS(tblTecnicos[rotativo],"SI",tblTecnicos[especialidad],tblAsignaciones[[#This Row],[especialidad]],tblTecnicos[area],tblAsignaciones[[#This Row],[area]])</f>
        <v/>
      </c>
      <c r="G1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6" t="n"/>
      <c r="I161" s="3">
        <f>IF(tblAsignaciones[[#This Row],[turno_manual]]&lt;&gt;"",tblAsignaciones[[#This Row],[turno_manual]],IF(LEFT(tblAsignaciones[[#This Row],[posicion_ciclo]],1)="B","B",tblAsignaciones[[#This Row],[posicion_ciclo]]))</f>
        <v/>
      </c>
      <c r="J161" s="3">
        <f>_xlfn.XLOOKUP(tblAsignaciones[[#This Row],[tecnico]],tblTecnicos[nombre],tblTecnicos[coordinador],"")</f>
        <v/>
      </c>
      <c r="K1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1" s="3">
        <f>tblAsignaciones[[#This Row],[semana]]&amp;"|"&amp;tblAsignaciones[[#This Row],[dia]]&amp;"|"&amp;tblAsignaciones[[#This Row],[tecnico]]</f>
        <v/>
      </c>
      <c r="N161" s="3">
        <f>_xlfn.XLOOKUP(tblAsignaciones[[#This Row],[turno]],tblTurnos[turno],tblTurnos[hora_inicio],"")</f>
        <v/>
      </c>
      <c r="O161" s="3">
        <f>_xlfn.XLOOKUP(tblAsignaciones[[#This Row],[turno]],tblTurnos[turno],tblTurnos[hora_fin],"")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07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3">
        <f>COUNTIFS(tblTecnicos[rotativo],"SI",tblTecnicos[especialidad],tblAsignaciones[[#This Row],[especialidad]],tblTecnicos[area],tblAsignaciones[[#This Row],[area]])</f>
        <v/>
      </c>
      <c r="G1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6" t="n"/>
      <c r="I162" s="3">
        <f>IF(tblAsignaciones[[#This Row],[turno_manual]]&lt;&gt;"",tblAsignaciones[[#This Row],[turno_manual]],IF(LEFT(tblAsignaciones[[#This Row],[posicion_ciclo]],1)="B","B",tblAsignaciones[[#This Row],[posicion_ciclo]]))</f>
        <v/>
      </c>
      <c r="J162" s="3">
        <f>_xlfn.XLOOKUP(tblAsignaciones[[#This Row],[tecnico]],tblTecnicos[nombre],tblTecnicos[coordinador],"")</f>
        <v/>
      </c>
      <c r="K1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2" s="3">
        <f>tblAsignaciones[[#This Row],[semana]]&amp;"|"&amp;tblAsignaciones[[#This Row],[dia]]&amp;"|"&amp;tblAsignaciones[[#This Row],[tecnico]]</f>
        <v/>
      </c>
      <c r="N162" s="3">
        <f>_xlfn.XLOOKUP(tblAsignaciones[[#This Row],[turno]],tblTurnos[turno],tblTurnos[hora_inicio],"")</f>
        <v/>
      </c>
      <c r="O162" s="3">
        <f>_xlfn.XLOOKUP(tblAsignaciones[[#This Row],[turno]],tblTurnos[turno],tblTurnos[hora_fin],"")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07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3">
        <f>COUNTIFS(tblTecnicos[rotativo],"SI",tblTecnicos[especialidad],tblAsignaciones[[#This Row],[especialidad]],tblTecnicos[area],tblAsignaciones[[#This Row],[area]])</f>
        <v/>
      </c>
      <c r="G1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6" t="n"/>
      <c r="I163" s="3">
        <f>IF(tblAsignaciones[[#This Row],[turno_manual]]&lt;&gt;"",tblAsignaciones[[#This Row],[turno_manual]],IF(LEFT(tblAsignaciones[[#This Row],[posicion_ciclo]],1)="B","B",tblAsignaciones[[#This Row],[posicion_ciclo]]))</f>
        <v/>
      </c>
      <c r="J163" s="3">
        <f>_xlfn.XLOOKUP(tblAsignaciones[[#This Row],[tecnico]],tblTecnicos[nombre],tblTecnicos[coordinador],"")</f>
        <v/>
      </c>
      <c r="K1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3" s="3">
        <f>tblAsignaciones[[#This Row],[semana]]&amp;"|"&amp;tblAsignaciones[[#This Row],[dia]]&amp;"|"&amp;tblAsignaciones[[#This Row],[tecnico]]</f>
        <v/>
      </c>
      <c r="N163" s="3">
        <f>_xlfn.XLOOKUP(tblAsignaciones[[#This Row],[turno]],tblTurnos[turno],tblTurnos[hora_inicio],"")</f>
        <v/>
      </c>
      <c r="O163" s="3">
        <f>_xlfn.XLOOKUP(tblAsignaciones[[#This Row],[turno]],tblTurnos[turno],tblTurnos[hora_fin],"")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07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3">
        <f>COUNTIFS(tblTecnicos[rotativo],"SI",tblTecnicos[especialidad],tblAsignaciones[[#This Row],[especialidad]],tblTecnicos[area],tblAsignaciones[[#This Row],[area]])</f>
        <v/>
      </c>
      <c r="G1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6" t="n"/>
      <c r="I164" s="3">
        <f>IF(tblAsignaciones[[#This Row],[turno_manual]]&lt;&gt;"",tblAsignaciones[[#This Row],[turno_manual]],IF(LEFT(tblAsignaciones[[#This Row],[posicion_ciclo]],1)="B","B",tblAsignaciones[[#This Row],[posicion_ciclo]]))</f>
        <v/>
      </c>
      <c r="J164" s="3">
        <f>_xlfn.XLOOKUP(tblAsignaciones[[#This Row],[tecnico]],tblTecnicos[nombre],tblTecnicos[coordinador],"")</f>
        <v/>
      </c>
      <c r="K1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4" s="3">
        <f>tblAsignaciones[[#This Row],[semana]]&amp;"|"&amp;tblAsignaciones[[#This Row],[dia]]&amp;"|"&amp;tblAsignaciones[[#This Row],[tecnico]]</f>
        <v/>
      </c>
      <c r="N164" s="3">
        <f>_xlfn.XLOOKUP(tblAsignaciones[[#This Row],[turno]],tblTurnos[turno],tblTurnos[hora_inicio],"")</f>
        <v/>
      </c>
      <c r="O164" s="3">
        <f>_xlfn.XLOOKUP(tblAsignaciones[[#This Row],[turno]],tblTurnos[turno],tblTurnos[hora_fin],"")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08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3">
        <f>COUNTIFS(tblTecnicos[rotativo],"SI",tblTecnicos[especialidad],tblAsignaciones[[#This Row],[especialidad]],tblTecnicos[area],tblAsignaciones[[#This Row],[area]])</f>
        <v/>
      </c>
      <c r="G1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6" t="n"/>
      <c r="I165" s="3">
        <f>IF(tblAsignaciones[[#This Row],[turno_manual]]&lt;&gt;"",tblAsignaciones[[#This Row],[turno_manual]],IF(LEFT(tblAsignaciones[[#This Row],[posicion_ciclo]],1)="B","B",tblAsignaciones[[#This Row],[posicion_ciclo]]))</f>
        <v/>
      </c>
      <c r="J165" s="3">
        <f>_xlfn.XLOOKUP(tblAsignaciones[[#This Row],[tecnico]],tblTecnicos[nombre],tblTecnicos[coordinador],"")</f>
        <v/>
      </c>
      <c r="K1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5" s="3">
        <f>tblAsignaciones[[#This Row],[semana]]&amp;"|"&amp;tblAsignaciones[[#This Row],[dia]]&amp;"|"&amp;tblAsignaciones[[#This Row],[tecnico]]</f>
        <v/>
      </c>
      <c r="N165" s="3">
        <f>_xlfn.XLOOKUP(tblAsignaciones[[#This Row],[turno]],tblTurnos[turno],tblTurnos[hora_inicio],"")</f>
        <v/>
      </c>
      <c r="O165" s="3">
        <f>_xlfn.XLOOKUP(tblAsignaciones[[#This Row],[turno]],tblTurnos[turno],tblTurnos[hora_fin],"")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08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3">
        <f>COUNTIFS(tblTecnicos[rotativo],"SI",tblTecnicos[especialidad],tblAsignaciones[[#This Row],[especialidad]],tblTecnicos[area],tblAsignaciones[[#This Row],[area]])</f>
        <v/>
      </c>
      <c r="G1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6" t="n"/>
      <c r="I166" s="3">
        <f>IF(tblAsignaciones[[#This Row],[turno_manual]]&lt;&gt;"",tblAsignaciones[[#This Row],[turno_manual]],IF(LEFT(tblAsignaciones[[#This Row],[posicion_ciclo]],1)="B","B",tblAsignaciones[[#This Row],[posicion_ciclo]]))</f>
        <v/>
      </c>
      <c r="J166" s="3">
        <f>_xlfn.XLOOKUP(tblAsignaciones[[#This Row],[tecnico]],tblTecnicos[nombre],tblTecnicos[coordinador],"")</f>
        <v/>
      </c>
      <c r="K1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6" s="3">
        <f>tblAsignaciones[[#This Row],[semana]]&amp;"|"&amp;tblAsignaciones[[#This Row],[dia]]&amp;"|"&amp;tblAsignaciones[[#This Row],[tecnico]]</f>
        <v/>
      </c>
      <c r="N166" s="3">
        <f>_xlfn.XLOOKUP(tblAsignaciones[[#This Row],[turno]],tblTurnos[turno],tblTurnos[hora_inicio],"")</f>
        <v/>
      </c>
      <c r="O166" s="3">
        <f>_xlfn.XLOOKUP(tblAsignaciones[[#This Row],[turno]],tblTurnos[turno],tblTurnos[hora_fin],"")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08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3">
        <f>COUNTIFS(tblTecnicos[rotativo],"SI",tblTecnicos[especialidad],tblAsignaciones[[#This Row],[especialidad]],tblTecnicos[area],tblAsignaciones[[#This Row],[area]])</f>
        <v/>
      </c>
      <c r="G1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6" t="n"/>
      <c r="I167" s="3">
        <f>IF(tblAsignaciones[[#This Row],[turno_manual]]&lt;&gt;"",tblAsignaciones[[#This Row],[turno_manual]],IF(LEFT(tblAsignaciones[[#This Row],[posicion_ciclo]],1)="B","B",tblAsignaciones[[#This Row],[posicion_ciclo]]))</f>
        <v/>
      </c>
      <c r="J167" s="3">
        <f>_xlfn.XLOOKUP(tblAsignaciones[[#This Row],[tecnico]],tblTecnicos[nombre],tblTecnicos[coordinador],"")</f>
        <v/>
      </c>
      <c r="K1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7" s="3">
        <f>tblAsignaciones[[#This Row],[semana]]&amp;"|"&amp;tblAsignaciones[[#This Row],[dia]]&amp;"|"&amp;tblAsignaciones[[#This Row],[tecnico]]</f>
        <v/>
      </c>
      <c r="N167" s="3">
        <f>_xlfn.XLOOKUP(tblAsignaciones[[#This Row],[turno]],tblTurnos[turno],tblTurnos[hora_inicio],"")</f>
        <v/>
      </c>
      <c r="O167" s="3">
        <f>_xlfn.XLOOKUP(tblAsignaciones[[#This Row],[turno]],tblTurnos[turno],tblTurnos[hora_fin],"")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08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3">
        <f>COUNTIFS(tblTecnicos[rotativo],"SI",tblTecnicos[especialidad],tblAsignaciones[[#This Row],[especialidad]],tblTecnicos[area],tblAsignaciones[[#This Row],[area]])</f>
        <v/>
      </c>
      <c r="G1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6" t="n"/>
      <c r="I168" s="3">
        <f>IF(tblAsignaciones[[#This Row],[turno_manual]]&lt;&gt;"",tblAsignaciones[[#This Row],[turno_manual]],IF(LEFT(tblAsignaciones[[#This Row],[posicion_ciclo]],1)="B","B",tblAsignaciones[[#This Row],[posicion_ciclo]]))</f>
        <v/>
      </c>
      <c r="J168" s="3">
        <f>_xlfn.XLOOKUP(tblAsignaciones[[#This Row],[tecnico]],tblTecnicos[nombre],tblTecnicos[coordinador],"")</f>
        <v/>
      </c>
      <c r="K1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8" s="3">
        <f>tblAsignaciones[[#This Row],[semana]]&amp;"|"&amp;tblAsignaciones[[#This Row],[dia]]&amp;"|"&amp;tblAsignaciones[[#This Row],[tecnico]]</f>
        <v/>
      </c>
      <c r="N168" s="3">
        <f>_xlfn.XLOOKUP(tblAsignaciones[[#This Row],[turno]],tblTurnos[turno],tblTurnos[hora_inicio],"")</f>
        <v/>
      </c>
      <c r="O168" s="3">
        <f>_xlfn.XLOOKUP(tblAsignaciones[[#This Row],[turno]],tblTurnos[turno],tblTurnos[hora_fin],"")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08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3">
        <f>COUNTIFS(tblTecnicos[rotativo],"SI",tblTecnicos[especialidad],tblAsignaciones[[#This Row],[especialidad]],tblTecnicos[area],tblAsignaciones[[#This Row],[area]])</f>
        <v/>
      </c>
      <c r="G1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6" t="n"/>
      <c r="I169" s="3">
        <f>IF(tblAsignaciones[[#This Row],[turno_manual]]&lt;&gt;"",tblAsignaciones[[#This Row],[turno_manual]],IF(LEFT(tblAsignaciones[[#This Row],[posicion_ciclo]],1)="B","B",tblAsignaciones[[#This Row],[posicion_ciclo]]))</f>
        <v/>
      </c>
      <c r="J169" s="3">
        <f>_xlfn.XLOOKUP(tblAsignaciones[[#This Row],[tecnico]],tblTecnicos[nombre],tblTecnicos[coordinador],"")</f>
        <v/>
      </c>
      <c r="K1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69" s="3">
        <f>tblAsignaciones[[#This Row],[semana]]&amp;"|"&amp;tblAsignaciones[[#This Row],[dia]]&amp;"|"&amp;tblAsignaciones[[#This Row],[tecnico]]</f>
        <v/>
      </c>
      <c r="N169" s="3">
        <f>_xlfn.XLOOKUP(tblAsignaciones[[#This Row],[turno]],tblTurnos[turno],tblTurnos[hora_inicio],"")</f>
        <v/>
      </c>
      <c r="O169" s="3">
        <f>_xlfn.XLOOKUP(tblAsignaciones[[#This Row],[turno]],tblTurnos[turno],tblTurnos[hora_fin],"")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08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3">
        <f>COUNTIFS(tblTecnicos[rotativo],"SI",tblTecnicos[especialidad],tblAsignaciones[[#This Row],[especialidad]],tblTecnicos[area],tblAsignaciones[[#This Row],[area]])</f>
        <v/>
      </c>
      <c r="G1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6" t="n"/>
      <c r="I170" s="3">
        <f>IF(tblAsignaciones[[#This Row],[turno_manual]]&lt;&gt;"",tblAsignaciones[[#This Row],[turno_manual]],IF(LEFT(tblAsignaciones[[#This Row],[posicion_ciclo]],1)="B","B",tblAsignaciones[[#This Row],[posicion_ciclo]]))</f>
        <v/>
      </c>
      <c r="J170" s="3">
        <f>_xlfn.XLOOKUP(tblAsignaciones[[#This Row],[tecnico]],tblTecnicos[nombre],tblTecnicos[coordinador],"")</f>
        <v/>
      </c>
      <c r="K1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0" s="3">
        <f>tblAsignaciones[[#This Row],[semana]]&amp;"|"&amp;tblAsignaciones[[#This Row],[dia]]&amp;"|"&amp;tblAsignaciones[[#This Row],[tecnico]]</f>
        <v/>
      </c>
      <c r="N170" s="3">
        <f>_xlfn.XLOOKUP(tblAsignaciones[[#This Row],[turno]],tblTurnos[turno],tblTurnos[hora_inicio],"")</f>
        <v/>
      </c>
      <c r="O170" s="3">
        <f>_xlfn.XLOOKUP(tblAsignaciones[[#This Row],[turno]],tblTurnos[turno],tblTurnos[hora_fin],"")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08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3">
        <f>COUNTIFS(tblTecnicos[rotativo],"SI",tblTecnicos[especialidad],tblAsignaciones[[#This Row],[especialidad]],tblTecnicos[area],tblAsignaciones[[#This Row],[area]])</f>
        <v/>
      </c>
      <c r="G1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6" t="n"/>
      <c r="I171" s="3">
        <f>IF(tblAsignaciones[[#This Row],[turno_manual]]&lt;&gt;"",tblAsignaciones[[#This Row],[turno_manual]],IF(LEFT(tblAsignaciones[[#This Row],[posicion_ciclo]],1)="B","B",tblAsignaciones[[#This Row],[posicion_ciclo]]))</f>
        <v/>
      </c>
      <c r="J171" s="3">
        <f>_xlfn.XLOOKUP(tblAsignaciones[[#This Row],[tecnico]],tblTecnicos[nombre],tblTecnicos[coordinador],"")</f>
        <v/>
      </c>
      <c r="K1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1" s="3">
        <f>tblAsignaciones[[#This Row],[semana]]&amp;"|"&amp;tblAsignaciones[[#This Row],[dia]]&amp;"|"&amp;tblAsignaciones[[#This Row],[tecnico]]</f>
        <v/>
      </c>
      <c r="N171" s="3">
        <f>_xlfn.XLOOKUP(tblAsignaciones[[#This Row],[turno]],tblTurnos[turno],tblTurnos[hora_inicio],"")</f>
        <v/>
      </c>
      <c r="O171" s="3">
        <f>_xlfn.XLOOKUP(tblAsignaciones[[#This Row],[turno]],tblTurnos[turno],tblTurnos[hora_fin],"")</f>
        <v/>
      </c>
    </row>
    <row r="172">
      <c r="A172" s="3" t="inlineStr">
        <is>
          <t>2026-S30</t>
        </is>
      </c>
      <c r="B172" s="3" t="inlineStr">
        <is>
          <t>lunes</t>
        </is>
      </c>
      <c r="C172" s="3" t="inlineStr">
        <is>
          <t>Técnico 09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3">
        <f>COUNTIFS(tblTecnicos[rotativo],"SI",tblTecnicos[especialidad],tblAsignaciones[[#This Row],[especialidad]],tblTecnicos[area],tblAsignaciones[[#This Row],[area]])</f>
        <v/>
      </c>
      <c r="G1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6" t="n"/>
      <c r="I172" s="3">
        <f>IF(tblAsignaciones[[#This Row],[turno_manual]]&lt;&gt;"",tblAsignaciones[[#This Row],[turno_manual]],IF(LEFT(tblAsignaciones[[#This Row],[posicion_ciclo]],1)="B","B",tblAsignaciones[[#This Row],[posicion_ciclo]]))</f>
        <v/>
      </c>
      <c r="J172" s="3">
        <f>_xlfn.XLOOKUP(tblAsignaciones[[#This Row],[tecnico]],tblTecnicos[nombre],tblTecnicos[coordinador],"")</f>
        <v/>
      </c>
      <c r="K1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2" s="3">
        <f>tblAsignaciones[[#This Row],[semana]]&amp;"|"&amp;tblAsignaciones[[#This Row],[dia]]&amp;"|"&amp;tblAsignaciones[[#This Row],[tecnico]]</f>
        <v/>
      </c>
      <c r="N172" s="3">
        <f>_xlfn.XLOOKUP(tblAsignaciones[[#This Row],[turno]],tblTurnos[turno],tblTurnos[hora_inicio],"")</f>
        <v/>
      </c>
      <c r="O172" s="3">
        <f>_xlfn.XLOOKUP(tblAsignaciones[[#This Row],[turno]],tblTurnos[turno],tblTurnos[hora_fin],"")</f>
        <v/>
      </c>
    </row>
    <row r="173">
      <c r="A173" s="3" t="inlineStr">
        <is>
          <t>2026-S30</t>
        </is>
      </c>
      <c r="B173" s="3" t="inlineStr">
        <is>
          <t>martes</t>
        </is>
      </c>
      <c r="C173" s="3" t="inlineStr">
        <is>
          <t>Técnico 09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3">
        <f>COUNTIFS(tblTecnicos[rotativo],"SI",tblTecnicos[especialidad],tblAsignaciones[[#This Row],[especialidad]],tblTecnicos[area],tblAsignaciones[[#This Row],[area]])</f>
        <v/>
      </c>
      <c r="G1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6" t="n"/>
      <c r="I173" s="3">
        <f>IF(tblAsignaciones[[#This Row],[turno_manual]]&lt;&gt;"",tblAsignaciones[[#This Row],[turno_manual]],IF(LEFT(tblAsignaciones[[#This Row],[posicion_ciclo]],1)="B","B",tblAsignaciones[[#This Row],[posicion_ciclo]]))</f>
        <v/>
      </c>
      <c r="J173" s="3">
        <f>_xlfn.XLOOKUP(tblAsignaciones[[#This Row],[tecnico]],tblTecnicos[nombre],tblTecnicos[coordinador],"")</f>
        <v/>
      </c>
      <c r="K1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3" s="3">
        <f>tblAsignaciones[[#This Row],[semana]]&amp;"|"&amp;tblAsignaciones[[#This Row],[dia]]&amp;"|"&amp;tblAsignaciones[[#This Row],[tecnico]]</f>
        <v/>
      </c>
      <c r="N173" s="3">
        <f>_xlfn.XLOOKUP(tblAsignaciones[[#This Row],[turno]],tblTurnos[turno],tblTurnos[hora_inicio],"")</f>
        <v/>
      </c>
      <c r="O173" s="3">
        <f>_xlfn.XLOOKUP(tblAsignaciones[[#This Row],[turno]],tblTurnos[turno],tblTurnos[hora_fin],"")</f>
        <v/>
      </c>
    </row>
    <row r="174">
      <c r="A174" s="3" t="inlineStr">
        <is>
          <t>2026-S30</t>
        </is>
      </c>
      <c r="B174" s="3" t="inlineStr">
        <is>
          <t>miércoles</t>
        </is>
      </c>
      <c r="C174" s="3" t="inlineStr">
        <is>
          <t>Técnico 09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3">
        <f>COUNTIFS(tblTecnicos[rotativo],"SI",tblTecnicos[especialidad],tblAsignaciones[[#This Row],[especialidad]],tblTecnicos[area],tblAsignaciones[[#This Row],[area]])</f>
        <v/>
      </c>
      <c r="G1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6" t="n"/>
      <c r="I174" s="3">
        <f>IF(tblAsignaciones[[#This Row],[turno_manual]]&lt;&gt;"",tblAsignaciones[[#This Row],[turno_manual]],IF(LEFT(tblAsignaciones[[#This Row],[posicion_ciclo]],1)="B","B",tblAsignaciones[[#This Row],[posicion_ciclo]]))</f>
        <v/>
      </c>
      <c r="J174" s="3">
        <f>_xlfn.XLOOKUP(tblAsignaciones[[#This Row],[tecnico]],tblTecnicos[nombre],tblTecnicos[coordinador],"")</f>
        <v/>
      </c>
      <c r="K1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4" s="3">
        <f>tblAsignaciones[[#This Row],[semana]]&amp;"|"&amp;tblAsignaciones[[#This Row],[dia]]&amp;"|"&amp;tblAsignaciones[[#This Row],[tecnico]]</f>
        <v/>
      </c>
      <c r="N174" s="3">
        <f>_xlfn.XLOOKUP(tblAsignaciones[[#This Row],[turno]],tblTurnos[turno],tblTurnos[hora_inicio],"")</f>
        <v/>
      </c>
      <c r="O174" s="3">
        <f>_xlfn.XLOOKUP(tblAsignaciones[[#This Row],[turno]],tblTurnos[turno],tblTurnos[hora_fin],"")</f>
        <v/>
      </c>
    </row>
    <row r="175">
      <c r="A175" s="3" t="inlineStr">
        <is>
          <t>2026-S30</t>
        </is>
      </c>
      <c r="B175" s="3" t="inlineStr">
        <is>
          <t>jueves</t>
        </is>
      </c>
      <c r="C175" s="3" t="inlineStr">
        <is>
          <t>Técnico 09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3">
        <f>COUNTIFS(tblTecnicos[rotativo],"SI",tblTecnicos[especialidad],tblAsignaciones[[#This Row],[especialidad]],tblTecnicos[area],tblAsignaciones[[#This Row],[area]])</f>
        <v/>
      </c>
      <c r="G1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6" t="n"/>
      <c r="I175" s="3">
        <f>IF(tblAsignaciones[[#This Row],[turno_manual]]&lt;&gt;"",tblAsignaciones[[#This Row],[turno_manual]],IF(LEFT(tblAsignaciones[[#This Row],[posicion_ciclo]],1)="B","B",tblAsignaciones[[#This Row],[posicion_ciclo]]))</f>
        <v/>
      </c>
      <c r="J175" s="3">
        <f>_xlfn.XLOOKUP(tblAsignaciones[[#This Row],[tecnico]],tblTecnicos[nombre],tblTecnicos[coordinador],"")</f>
        <v/>
      </c>
      <c r="K1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5" s="3">
        <f>tblAsignaciones[[#This Row],[semana]]&amp;"|"&amp;tblAsignaciones[[#This Row],[dia]]&amp;"|"&amp;tblAsignaciones[[#This Row],[tecnico]]</f>
        <v/>
      </c>
      <c r="N175" s="3">
        <f>_xlfn.XLOOKUP(tblAsignaciones[[#This Row],[turno]],tblTurnos[turno],tblTurnos[hora_inicio],"")</f>
        <v/>
      </c>
      <c r="O175" s="3">
        <f>_xlfn.XLOOKUP(tblAsignaciones[[#This Row],[turno]],tblTurnos[turno],tblTurnos[hora_fin],"")</f>
        <v/>
      </c>
    </row>
    <row r="176">
      <c r="A176" s="3" t="inlineStr">
        <is>
          <t>2026-S30</t>
        </is>
      </c>
      <c r="B176" s="3" t="inlineStr">
        <is>
          <t>viernes</t>
        </is>
      </c>
      <c r="C176" s="3" t="inlineStr">
        <is>
          <t>Técnico 09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3">
        <f>COUNTIFS(tblTecnicos[rotativo],"SI",tblTecnicos[especialidad],tblAsignaciones[[#This Row],[especialidad]],tblTecnicos[area],tblAsignaciones[[#This Row],[area]])</f>
        <v/>
      </c>
      <c r="G1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6" t="n"/>
      <c r="I176" s="3">
        <f>IF(tblAsignaciones[[#This Row],[turno_manual]]&lt;&gt;"",tblAsignaciones[[#This Row],[turno_manual]],IF(LEFT(tblAsignaciones[[#This Row],[posicion_ciclo]],1)="B","B",tblAsignaciones[[#This Row],[posicion_ciclo]]))</f>
        <v/>
      </c>
      <c r="J176" s="3">
        <f>_xlfn.XLOOKUP(tblAsignaciones[[#This Row],[tecnico]],tblTecnicos[nombre],tblTecnicos[coordinador],"")</f>
        <v/>
      </c>
      <c r="K1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6" s="3">
        <f>tblAsignaciones[[#This Row],[semana]]&amp;"|"&amp;tblAsignaciones[[#This Row],[dia]]&amp;"|"&amp;tblAsignaciones[[#This Row],[tecnico]]</f>
        <v/>
      </c>
      <c r="N176" s="3">
        <f>_xlfn.XLOOKUP(tblAsignaciones[[#This Row],[turno]],tblTurnos[turno],tblTurnos[hora_inicio],"")</f>
        <v/>
      </c>
      <c r="O176" s="3">
        <f>_xlfn.XLOOKUP(tblAsignaciones[[#This Row],[turno]],tblTurnos[turno],tblTurnos[hora_fin],"")</f>
        <v/>
      </c>
    </row>
    <row r="177">
      <c r="A177" s="3" t="inlineStr">
        <is>
          <t>2026-S30</t>
        </is>
      </c>
      <c r="B177" s="3" t="inlineStr">
        <is>
          <t>sábado</t>
        </is>
      </c>
      <c r="C177" s="3" t="inlineStr">
        <is>
          <t>Técnico 09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3">
        <f>COUNTIFS(tblTecnicos[rotativo],"SI",tblTecnicos[especialidad],tblAsignaciones[[#This Row],[especialidad]],tblTecnicos[area],tblAsignaciones[[#This Row],[area]])</f>
        <v/>
      </c>
      <c r="G1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6" t="n"/>
      <c r="I177" s="3">
        <f>IF(tblAsignaciones[[#This Row],[turno_manual]]&lt;&gt;"",tblAsignaciones[[#This Row],[turno_manual]],IF(LEFT(tblAsignaciones[[#This Row],[posicion_ciclo]],1)="B","B",tblAsignaciones[[#This Row],[posicion_ciclo]]))</f>
        <v/>
      </c>
      <c r="J177" s="3">
        <f>_xlfn.XLOOKUP(tblAsignaciones[[#This Row],[tecnico]],tblTecnicos[nombre],tblTecnicos[coordinador],"")</f>
        <v/>
      </c>
      <c r="K1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7" s="3">
        <f>tblAsignaciones[[#This Row],[semana]]&amp;"|"&amp;tblAsignaciones[[#This Row],[dia]]&amp;"|"&amp;tblAsignaciones[[#This Row],[tecnico]]</f>
        <v/>
      </c>
      <c r="N177" s="3">
        <f>_xlfn.XLOOKUP(tblAsignaciones[[#This Row],[turno]],tblTurnos[turno],tblTurnos[hora_inicio],"")</f>
        <v/>
      </c>
      <c r="O177" s="3">
        <f>_xlfn.XLOOKUP(tblAsignaciones[[#This Row],[turno]],tblTurnos[turno],tblTurnos[hora_fin],"")</f>
        <v/>
      </c>
    </row>
    <row r="178">
      <c r="A178" s="3" t="inlineStr">
        <is>
          <t>2026-S30</t>
        </is>
      </c>
      <c r="B178" s="3" t="inlineStr">
        <is>
          <t>domingo</t>
        </is>
      </c>
      <c r="C178" s="3" t="inlineStr">
        <is>
          <t>Técnico 09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3">
        <f>COUNTIFS(tblTecnicos[rotativo],"SI",tblTecnicos[especialidad],tblAsignaciones[[#This Row],[especialidad]],tblTecnicos[area],tblAsignaciones[[#This Row],[area]])</f>
        <v/>
      </c>
      <c r="G1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6" t="n"/>
      <c r="I178" s="3">
        <f>IF(tblAsignaciones[[#This Row],[turno_manual]]&lt;&gt;"",tblAsignaciones[[#This Row],[turno_manual]],IF(LEFT(tblAsignaciones[[#This Row],[posicion_ciclo]],1)="B","B",tblAsignaciones[[#This Row],[posicion_ciclo]]))</f>
        <v/>
      </c>
      <c r="J178" s="3">
        <f>_xlfn.XLOOKUP(tblAsignaciones[[#This Row],[tecnico]],tblTecnicos[nombre],tblTecnicos[coordinador],"")</f>
        <v/>
      </c>
      <c r="K1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8" s="3">
        <f>tblAsignaciones[[#This Row],[semana]]&amp;"|"&amp;tblAsignaciones[[#This Row],[dia]]&amp;"|"&amp;tblAsignaciones[[#This Row],[tecnico]]</f>
        <v/>
      </c>
      <c r="N178" s="3">
        <f>_xlfn.XLOOKUP(tblAsignaciones[[#This Row],[turno]],tblTurnos[turno],tblTurnos[hora_inicio],"")</f>
        <v/>
      </c>
      <c r="O178" s="3">
        <f>_xlfn.XLOOKUP(tblAsignaciones[[#This Row],[turno]],tblTurnos[turno],tblTurnos[hora_fin],"")</f>
        <v/>
      </c>
    </row>
    <row r="179">
      <c r="A179" s="3" t="inlineStr">
        <is>
          <t>2026-S30</t>
        </is>
      </c>
      <c r="B179" s="3" t="inlineStr">
        <is>
          <t>lunes</t>
        </is>
      </c>
      <c r="C179" s="3" t="inlineStr">
        <is>
          <t>Técnico 10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3">
        <f>COUNTIFS(tblTecnicos[rotativo],"SI",tblTecnicos[especialidad],tblAsignaciones[[#This Row],[especialidad]],tblTecnicos[area],tblAsignaciones[[#This Row],[area]])</f>
        <v/>
      </c>
      <c r="G1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6" t="n"/>
      <c r="I179" s="3">
        <f>IF(tblAsignaciones[[#This Row],[turno_manual]]&lt;&gt;"",tblAsignaciones[[#This Row],[turno_manual]],IF(LEFT(tblAsignaciones[[#This Row],[posicion_ciclo]],1)="B","B",tblAsignaciones[[#This Row],[posicion_ciclo]]))</f>
        <v/>
      </c>
      <c r="J179" s="3">
        <f>_xlfn.XLOOKUP(tblAsignaciones[[#This Row],[tecnico]],tblTecnicos[nombre],tblTecnicos[coordinador],"")</f>
        <v/>
      </c>
      <c r="K1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79" s="3">
        <f>tblAsignaciones[[#This Row],[semana]]&amp;"|"&amp;tblAsignaciones[[#This Row],[dia]]&amp;"|"&amp;tblAsignaciones[[#This Row],[tecnico]]</f>
        <v/>
      </c>
      <c r="N179" s="3">
        <f>_xlfn.XLOOKUP(tblAsignaciones[[#This Row],[turno]],tblTurnos[turno],tblTurnos[hora_inicio],"")</f>
        <v/>
      </c>
      <c r="O179" s="3">
        <f>_xlfn.XLOOKUP(tblAsignaciones[[#This Row],[turno]],tblTurnos[turno],tblTurnos[hora_fin],"")</f>
        <v/>
      </c>
    </row>
    <row r="180">
      <c r="A180" s="3" t="inlineStr">
        <is>
          <t>2026-S30</t>
        </is>
      </c>
      <c r="B180" s="3" t="inlineStr">
        <is>
          <t>martes</t>
        </is>
      </c>
      <c r="C180" s="3" t="inlineStr">
        <is>
          <t>Técnico 10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3">
        <f>COUNTIFS(tblTecnicos[rotativo],"SI",tblTecnicos[especialidad],tblAsignaciones[[#This Row],[especialidad]],tblTecnicos[area],tblAsignaciones[[#This Row],[area]])</f>
        <v/>
      </c>
      <c r="G1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6" t="n"/>
      <c r="I180" s="3">
        <f>IF(tblAsignaciones[[#This Row],[turno_manual]]&lt;&gt;"",tblAsignaciones[[#This Row],[turno_manual]],IF(LEFT(tblAsignaciones[[#This Row],[posicion_ciclo]],1)="B","B",tblAsignaciones[[#This Row],[posicion_ciclo]]))</f>
        <v/>
      </c>
      <c r="J180" s="3">
        <f>_xlfn.XLOOKUP(tblAsignaciones[[#This Row],[tecnico]],tblTecnicos[nombre],tblTecnicos[coordinador],"")</f>
        <v/>
      </c>
      <c r="K1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0" s="3">
        <f>tblAsignaciones[[#This Row],[semana]]&amp;"|"&amp;tblAsignaciones[[#This Row],[dia]]&amp;"|"&amp;tblAsignaciones[[#This Row],[tecnico]]</f>
        <v/>
      </c>
      <c r="N180" s="3">
        <f>_xlfn.XLOOKUP(tblAsignaciones[[#This Row],[turno]],tblTurnos[turno],tblTurnos[hora_inicio],"")</f>
        <v/>
      </c>
      <c r="O180" s="3">
        <f>_xlfn.XLOOKUP(tblAsignaciones[[#This Row],[turno]],tblTurnos[turno],tblTurnos[hora_fin],"")</f>
        <v/>
      </c>
    </row>
    <row r="181">
      <c r="A181" s="3" t="inlineStr">
        <is>
          <t>2026-S30</t>
        </is>
      </c>
      <c r="B181" s="3" t="inlineStr">
        <is>
          <t>miércoles</t>
        </is>
      </c>
      <c r="C181" s="3" t="inlineStr">
        <is>
          <t>Técnico 10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3">
        <f>COUNTIFS(tblTecnicos[rotativo],"SI",tblTecnicos[especialidad],tblAsignaciones[[#This Row],[especialidad]],tblTecnicos[area],tblAsignaciones[[#This Row],[area]])</f>
        <v/>
      </c>
      <c r="G1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6" t="n"/>
      <c r="I181" s="3">
        <f>IF(tblAsignaciones[[#This Row],[turno_manual]]&lt;&gt;"",tblAsignaciones[[#This Row],[turno_manual]],IF(LEFT(tblAsignaciones[[#This Row],[posicion_ciclo]],1)="B","B",tblAsignaciones[[#This Row],[posicion_ciclo]]))</f>
        <v/>
      </c>
      <c r="J181" s="3">
        <f>_xlfn.XLOOKUP(tblAsignaciones[[#This Row],[tecnico]],tblTecnicos[nombre],tblTecnicos[coordinador],"")</f>
        <v/>
      </c>
      <c r="K1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1" s="3">
        <f>tblAsignaciones[[#This Row],[semana]]&amp;"|"&amp;tblAsignaciones[[#This Row],[dia]]&amp;"|"&amp;tblAsignaciones[[#This Row],[tecnico]]</f>
        <v/>
      </c>
      <c r="N181" s="3">
        <f>_xlfn.XLOOKUP(tblAsignaciones[[#This Row],[turno]],tblTurnos[turno],tblTurnos[hora_inicio],"")</f>
        <v/>
      </c>
      <c r="O181" s="3">
        <f>_xlfn.XLOOKUP(tblAsignaciones[[#This Row],[turno]],tblTurnos[turno],tblTurnos[hora_fin],"")</f>
        <v/>
      </c>
    </row>
    <row r="182">
      <c r="A182" s="3" t="inlineStr">
        <is>
          <t>2026-S30</t>
        </is>
      </c>
      <c r="B182" s="3" t="inlineStr">
        <is>
          <t>jueves</t>
        </is>
      </c>
      <c r="C182" s="3" t="inlineStr">
        <is>
          <t>Técnico 10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3">
        <f>COUNTIFS(tblTecnicos[rotativo],"SI",tblTecnicos[especialidad],tblAsignaciones[[#This Row],[especialidad]],tblTecnicos[area],tblAsignaciones[[#This Row],[area]])</f>
        <v/>
      </c>
      <c r="G1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6" t="n"/>
      <c r="I182" s="3">
        <f>IF(tblAsignaciones[[#This Row],[turno_manual]]&lt;&gt;"",tblAsignaciones[[#This Row],[turno_manual]],IF(LEFT(tblAsignaciones[[#This Row],[posicion_ciclo]],1)="B","B",tblAsignaciones[[#This Row],[posicion_ciclo]]))</f>
        <v/>
      </c>
      <c r="J182" s="3">
        <f>_xlfn.XLOOKUP(tblAsignaciones[[#This Row],[tecnico]],tblTecnicos[nombre],tblTecnicos[coordinador],"")</f>
        <v/>
      </c>
      <c r="K1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2" s="3">
        <f>tblAsignaciones[[#This Row],[semana]]&amp;"|"&amp;tblAsignaciones[[#This Row],[dia]]&amp;"|"&amp;tblAsignaciones[[#This Row],[tecnico]]</f>
        <v/>
      </c>
      <c r="N182" s="3">
        <f>_xlfn.XLOOKUP(tblAsignaciones[[#This Row],[turno]],tblTurnos[turno],tblTurnos[hora_inicio],"")</f>
        <v/>
      </c>
      <c r="O182" s="3">
        <f>_xlfn.XLOOKUP(tblAsignaciones[[#This Row],[turno]],tblTurnos[turno],tblTurnos[hora_fin],"")</f>
        <v/>
      </c>
    </row>
    <row r="183">
      <c r="A183" s="3" t="inlineStr">
        <is>
          <t>2026-S30</t>
        </is>
      </c>
      <c r="B183" s="3" t="inlineStr">
        <is>
          <t>viernes</t>
        </is>
      </c>
      <c r="C183" s="3" t="inlineStr">
        <is>
          <t>Técnico 10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3">
        <f>COUNTIFS(tblTecnicos[rotativo],"SI",tblTecnicos[especialidad],tblAsignaciones[[#This Row],[especialidad]],tblTecnicos[area],tblAsignaciones[[#This Row],[area]])</f>
        <v/>
      </c>
      <c r="G1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6" t="n"/>
      <c r="I183" s="3">
        <f>IF(tblAsignaciones[[#This Row],[turno_manual]]&lt;&gt;"",tblAsignaciones[[#This Row],[turno_manual]],IF(LEFT(tblAsignaciones[[#This Row],[posicion_ciclo]],1)="B","B",tblAsignaciones[[#This Row],[posicion_ciclo]]))</f>
        <v/>
      </c>
      <c r="J183" s="3">
        <f>_xlfn.XLOOKUP(tblAsignaciones[[#This Row],[tecnico]],tblTecnicos[nombre],tblTecnicos[coordinador],"")</f>
        <v/>
      </c>
      <c r="K1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3" s="3">
        <f>tblAsignaciones[[#This Row],[semana]]&amp;"|"&amp;tblAsignaciones[[#This Row],[dia]]&amp;"|"&amp;tblAsignaciones[[#This Row],[tecnico]]</f>
        <v/>
      </c>
      <c r="N183" s="3">
        <f>_xlfn.XLOOKUP(tblAsignaciones[[#This Row],[turno]],tblTurnos[turno],tblTurnos[hora_inicio],"")</f>
        <v/>
      </c>
      <c r="O183" s="3">
        <f>_xlfn.XLOOKUP(tblAsignaciones[[#This Row],[turno]],tblTurnos[turno],tblTurnos[hora_fin],"")</f>
        <v/>
      </c>
    </row>
    <row r="184">
      <c r="A184" s="3" t="inlineStr">
        <is>
          <t>2026-S30</t>
        </is>
      </c>
      <c r="B184" s="3" t="inlineStr">
        <is>
          <t>sábado</t>
        </is>
      </c>
      <c r="C184" s="3" t="inlineStr">
        <is>
          <t>Técnico 10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3">
        <f>COUNTIFS(tblTecnicos[rotativo],"SI",tblTecnicos[especialidad],tblAsignaciones[[#This Row],[especialidad]],tblTecnicos[area],tblAsignaciones[[#This Row],[area]])</f>
        <v/>
      </c>
      <c r="G1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6" t="n"/>
      <c r="I184" s="3">
        <f>IF(tblAsignaciones[[#This Row],[turno_manual]]&lt;&gt;"",tblAsignaciones[[#This Row],[turno_manual]],IF(LEFT(tblAsignaciones[[#This Row],[posicion_ciclo]],1)="B","B",tblAsignaciones[[#This Row],[posicion_ciclo]]))</f>
        <v/>
      </c>
      <c r="J184" s="3">
        <f>_xlfn.XLOOKUP(tblAsignaciones[[#This Row],[tecnico]],tblTecnicos[nombre],tblTecnicos[coordinador],"")</f>
        <v/>
      </c>
      <c r="K1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4" s="3">
        <f>tblAsignaciones[[#This Row],[semana]]&amp;"|"&amp;tblAsignaciones[[#This Row],[dia]]&amp;"|"&amp;tblAsignaciones[[#This Row],[tecnico]]</f>
        <v/>
      </c>
      <c r="N184" s="3">
        <f>_xlfn.XLOOKUP(tblAsignaciones[[#This Row],[turno]],tblTurnos[turno],tblTurnos[hora_inicio],"")</f>
        <v/>
      </c>
      <c r="O184" s="3">
        <f>_xlfn.XLOOKUP(tblAsignaciones[[#This Row],[turno]],tblTurnos[turno],tblTurnos[hora_fin],"")</f>
        <v/>
      </c>
    </row>
    <row r="185">
      <c r="A185" s="3" t="inlineStr">
        <is>
          <t>2026-S30</t>
        </is>
      </c>
      <c r="B185" s="3" t="inlineStr">
        <is>
          <t>domingo</t>
        </is>
      </c>
      <c r="C185" s="3" t="inlineStr">
        <is>
          <t>Técnico 10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3">
        <f>COUNTIFS(tblTecnicos[rotativo],"SI",tblTecnicos[especialidad],tblAsignaciones[[#This Row],[especialidad]],tblTecnicos[area],tblAsignaciones[[#This Row],[area]])</f>
        <v/>
      </c>
      <c r="G1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6" t="n"/>
      <c r="I185" s="3">
        <f>IF(tblAsignaciones[[#This Row],[turno_manual]]&lt;&gt;"",tblAsignaciones[[#This Row],[turno_manual]],IF(LEFT(tblAsignaciones[[#This Row],[posicion_ciclo]],1)="B","B",tblAsignaciones[[#This Row],[posicion_ciclo]]))</f>
        <v/>
      </c>
      <c r="J185" s="3">
        <f>_xlfn.XLOOKUP(tblAsignaciones[[#This Row],[tecnico]],tblTecnicos[nombre],tblTecnicos[coordinador],"")</f>
        <v/>
      </c>
      <c r="K1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5" s="3">
        <f>tblAsignaciones[[#This Row],[semana]]&amp;"|"&amp;tblAsignaciones[[#This Row],[dia]]&amp;"|"&amp;tblAsignaciones[[#This Row],[tecnico]]</f>
        <v/>
      </c>
      <c r="N185" s="3">
        <f>_xlfn.XLOOKUP(tblAsignaciones[[#This Row],[turno]],tblTurnos[turno],tblTurnos[hora_inicio],"")</f>
        <v/>
      </c>
      <c r="O185" s="3">
        <f>_xlfn.XLOOKUP(tblAsignaciones[[#This Row],[turno]],tblTurnos[turno],tblTurnos[hora_fin],"")</f>
        <v/>
      </c>
    </row>
    <row r="186">
      <c r="A186" s="3" t="inlineStr">
        <is>
          <t>2026-S30</t>
        </is>
      </c>
      <c r="B186" s="3" t="inlineStr">
        <is>
          <t>lunes</t>
        </is>
      </c>
      <c r="C186" s="3" t="inlineStr">
        <is>
          <t>Técnico 11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3">
        <f>COUNTIFS(tblTecnicos[rotativo],"SI",tblTecnicos[especialidad],tblAsignaciones[[#This Row],[especialidad]],tblTecnicos[area],tblAsignaciones[[#This Row],[area]])</f>
        <v/>
      </c>
      <c r="G1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6" t="n"/>
      <c r="I186" s="3">
        <f>IF(tblAsignaciones[[#This Row],[turno_manual]]&lt;&gt;"",tblAsignaciones[[#This Row],[turno_manual]],IF(LEFT(tblAsignaciones[[#This Row],[posicion_ciclo]],1)="B","B",tblAsignaciones[[#This Row],[posicion_ciclo]]))</f>
        <v/>
      </c>
      <c r="J186" s="3">
        <f>_xlfn.XLOOKUP(tblAsignaciones[[#This Row],[tecnico]],tblTecnicos[nombre],tblTecnicos[coordinador],"")</f>
        <v/>
      </c>
      <c r="K1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6" s="3">
        <f>tblAsignaciones[[#This Row],[semana]]&amp;"|"&amp;tblAsignaciones[[#This Row],[dia]]&amp;"|"&amp;tblAsignaciones[[#This Row],[tecnico]]</f>
        <v/>
      </c>
      <c r="N186" s="3">
        <f>_xlfn.XLOOKUP(tblAsignaciones[[#This Row],[turno]],tblTurnos[turno],tblTurnos[hora_inicio],"")</f>
        <v/>
      </c>
      <c r="O186" s="3">
        <f>_xlfn.XLOOKUP(tblAsignaciones[[#This Row],[turno]],tblTurnos[turno],tblTurnos[hora_fin],"")</f>
        <v/>
      </c>
    </row>
    <row r="187">
      <c r="A187" s="3" t="inlineStr">
        <is>
          <t>2026-S30</t>
        </is>
      </c>
      <c r="B187" s="3" t="inlineStr">
        <is>
          <t>martes</t>
        </is>
      </c>
      <c r="C187" s="3" t="inlineStr">
        <is>
          <t>Técnico 11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3">
        <f>COUNTIFS(tblTecnicos[rotativo],"SI",tblTecnicos[especialidad],tblAsignaciones[[#This Row],[especialidad]],tblTecnicos[area],tblAsignaciones[[#This Row],[area]])</f>
        <v/>
      </c>
      <c r="G1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6" t="n"/>
      <c r="I187" s="3">
        <f>IF(tblAsignaciones[[#This Row],[turno_manual]]&lt;&gt;"",tblAsignaciones[[#This Row],[turno_manual]],IF(LEFT(tblAsignaciones[[#This Row],[posicion_ciclo]],1)="B","B",tblAsignaciones[[#This Row],[posicion_ciclo]]))</f>
        <v/>
      </c>
      <c r="J187" s="3">
        <f>_xlfn.XLOOKUP(tblAsignaciones[[#This Row],[tecnico]],tblTecnicos[nombre],tblTecnicos[coordinador],"")</f>
        <v/>
      </c>
      <c r="K1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7" s="3">
        <f>tblAsignaciones[[#This Row],[semana]]&amp;"|"&amp;tblAsignaciones[[#This Row],[dia]]&amp;"|"&amp;tblAsignaciones[[#This Row],[tecnico]]</f>
        <v/>
      </c>
      <c r="N187" s="3">
        <f>_xlfn.XLOOKUP(tblAsignaciones[[#This Row],[turno]],tblTurnos[turno],tblTurnos[hora_inicio],"")</f>
        <v/>
      </c>
      <c r="O187" s="3">
        <f>_xlfn.XLOOKUP(tblAsignaciones[[#This Row],[turno]],tblTurnos[turno],tblTurnos[hora_fin],"")</f>
        <v/>
      </c>
    </row>
    <row r="188">
      <c r="A188" s="3" t="inlineStr">
        <is>
          <t>2026-S30</t>
        </is>
      </c>
      <c r="B188" s="3" t="inlineStr">
        <is>
          <t>miércoles</t>
        </is>
      </c>
      <c r="C188" s="3" t="inlineStr">
        <is>
          <t>Técnico 11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3">
        <f>COUNTIFS(tblTecnicos[rotativo],"SI",tblTecnicos[especialidad],tblAsignaciones[[#This Row],[especialidad]],tblTecnicos[area],tblAsignaciones[[#This Row],[area]])</f>
        <v/>
      </c>
      <c r="G1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6" t="n"/>
      <c r="I188" s="3">
        <f>IF(tblAsignaciones[[#This Row],[turno_manual]]&lt;&gt;"",tblAsignaciones[[#This Row],[turno_manual]],IF(LEFT(tblAsignaciones[[#This Row],[posicion_ciclo]],1)="B","B",tblAsignaciones[[#This Row],[posicion_ciclo]]))</f>
        <v/>
      </c>
      <c r="J188" s="3">
        <f>_xlfn.XLOOKUP(tblAsignaciones[[#This Row],[tecnico]],tblTecnicos[nombre],tblTecnicos[coordinador],"")</f>
        <v/>
      </c>
      <c r="K1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8" s="3">
        <f>tblAsignaciones[[#This Row],[semana]]&amp;"|"&amp;tblAsignaciones[[#This Row],[dia]]&amp;"|"&amp;tblAsignaciones[[#This Row],[tecnico]]</f>
        <v/>
      </c>
      <c r="N188" s="3">
        <f>_xlfn.XLOOKUP(tblAsignaciones[[#This Row],[turno]],tblTurnos[turno],tblTurnos[hora_inicio],"")</f>
        <v/>
      </c>
      <c r="O188" s="3">
        <f>_xlfn.XLOOKUP(tblAsignaciones[[#This Row],[turno]],tblTurnos[turno],tblTurnos[hora_fin],"")</f>
        <v/>
      </c>
    </row>
    <row r="189">
      <c r="A189" s="3" t="inlineStr">
        <is>
          <t>2026-S30</t>
        </is>
      </c>
      <c r="B189" s="3" t="inlineStr">
        <is>
          <t>jueves</t>
        </is>
      </c>
      <c r="C189" s="3" t="inlineStr">
        <is>
          <t>Técnico 11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3">
        <f>COUNTIFS(tblTecnicos[rotativo],"SI",tblTecnicos[especialidad],tblAsignaciones[[#This Row],[especialidad]],tblTecnicos[area],tblAsignaciones[[#This Row],[area]])</f>
        <v/>
      </c>
      <c r="G1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6" t="n"/>
      <c r="I189" s="3">
        <f>IF(tblAsignaciones[[#This Row],[turno_manual]]&lt;&gt;"",tblAsignaciones[[#This Row],[turno_manual]],IF(LEFT(tblAsignaciones[[#This Row],[posicion_ciclo]],1)="B","B",tblAsignaciones[[#This Row],[posicion_ciclo]]))</f>
        <v/>
      </c>
      <c r="J189" s="3">
        <f>_xlfn.XLOOKUP(tblAsignaciones[[#This Row],[tecnico]],tblTecnicos[nombre],tblTecnicos[coordinador],"")</f>
        <v/>
      </c>
      <c r="K1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89" s="3">
        <f>tblAsignaciones[[#This Row],[semana]]&amp;"|"&amp;tblAsignaciones[[#This Row],[dia]]&amp;"|"&amp;tblAsignaciones[[#This Row],[tecnico]]</f>
        <v/>
      </c>
      <c r="N189" s="3">
        <f>_xlfn.XLOOKUP(tblAsignaciones[[#This Row],[turno]],tblTurnos[turno],tblTurnos[hora_inicio],"")</f>
        <v/>
      </c>
      <c r="O189" s="3">
        <f>_xlfn.XLOOKUP(tblAsignaciones[[#This Row],[turno]],tblTurnos[turno],tblTurnos[hora_fin],"")</f>
        <v/>
      </c>
    </row>
    <row r="190">
      <c r="A190" s="3" t="inlineStr">
        <is>
          <t>2026-S30</t>
        </is>
      </c>
      <c r="B190" s="3" t="inlineStr">
        <is>
          <t>viernes</t>
        </is>
      </c>
      <c r="C190" s="3" t="inlineStr">
        <is>
          <t>Técnico 11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3">
        <f>COUNTIFS(tblTecnicos[rotativo],"SI",tblTecnicos[especialidad],tblAsignaciones[[#This Row],[especialidad]],tblTecnicos[area],tblAsignaciones[[#This Row],[area]])</f>
        <v/>
      </c>
      <c r="G1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6" t="n"/>
      <c r="I190" s="3">
        <f>IF(tblAsignaciones[[#This Row],[turno_manual]]&lt;&gt;"",tblAsignaciones[[#This Row],[turno_manual]],IF(LEFT(tblAsignaciones[[#This Row],[posicion_ciclo]],1)="B","B",tblAsignaciones[[#This Row],[posicion_ciclo]]))</f>
        <v/>
      </c>
      <c r="J190" s="3">
        <f>_xlfn.XLOOKUP(tblAsignaciones[[#This Row],[tecnico]],tblTecnicos[nombre],tblTecnicos[coordinador],"")</f>
        <v/>
      </c>
      <c r="K1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0" s="3">
        <f>tblAsignaciones[[#This Row],[semana]]&amp;"|"&amp;tblAsignaciones[[#This Row],[dia]]&amp;"|"&amp;tblAsignaciones[[#This Row],[tecnico]]</f>
        <v/>
      </c>
      <c r="N190" s="3">
        <f>_xlfn.XLOOKUP(tblAsignaciones[[#This Row],[turno]],tblTurnos[turno],tblTurnos[hora_inicio],"")</f>
        <v/>
      </c>
      <c r="O190" s="3">
        <f>_xlfn.XLOOKUP(tblAsignaciones[[#This Row],[turno]],tblTurnos[turno],tblTurnos[hora_fin],"")</f>
        <v/>
      </c>
    </row>
    <row r="191">
      <c r="A191" s="3" t="inlineStr">
        <is>
          <t>2026-S30</t>
        </is>
      </c>
      <c r="B191" s="3" t="inlineStr">
        <is>
          <t>sábado</t>
        </is>
      </c>
      <c r="C191" s="3" t="inlineStr">
        <is>
          <t>Técnico 11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3">
        <f>COUNTIFS(tblTecnicos[rotativo],"SI",tblTecnicos[especialidad],tblAsignaciones[[#This Row],[especialidad]],tblTecnicos[area],tblAsignaciones[[#This Row],[area]])</f>
        <v/>
      </c>
      <c r="G1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6" t="n"/>
      <c r="I191" s="3">
        <f>IF(tblAsignaciones[[#This Row],[turno_manual]]&lt;&gt;"",tblAsignaciones[[#This Row],[turno_manual]],IF(LEFT(tblAsignaciones[[#This Row],[posicion_ciclo]],1)="B","B",tblAsignaciones[[#This Row],[posicion_ciclo]]))</f>
        <v/>
      </c>
      <c r="J191" s="3">
        <f>_xlfn.XLOOKUP(tblAsignaciones[[#This Row],[tecnico]],tblTecnicos[nombre],tblTecnicos[coordinador],"")</f>
        <v/>
      </c>
      <c r="K1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1" s="3">
        <f>tblAsignaciones[[#This Row],[semana]]&amp;"|"&amp;tblAsignaciones[[#This Row],[dia]]&amp;"|"&amp;tblAsignaciones[[#This Row],[tecnico]]</f>
        <v/>
      </c>
      <c r="N191" s="3">
        <f>_xlfn.XLOOKUP(tblAsignaciones[[#This Row],[turno]],tblTurnos[turno],tblTurnos[hora_inicio],"")</f>
        <v/>
      </c>
      <c r="O191" s="3">
        <f>_xlfn.XLOOKUP(tblAsignaciones[[#This Row],[turno]],tblTurnos[turno],tblTurnos[hora_fin],"")</f>
        <v/>
      </c>
    </row>
    <row r="192">
      <c r="A192" s="3" t="inlineStr">
        <is>
          <t>2026-S30</t>
        </is>
      </c>
      <c r="B192" s="3" t="inlineStr">
        <is>
          <t>domingo</t>
        </is>
      </c>
      <c r="C192" s="3" t="inlineStr">
        <is>
          <t>Técnico 11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3">
        <f>COUNTIFS(tblTecnicos[rotativo],"SI",tblTecnicos[especialidad],tblAsignaciones[[#This Row],[especialidad]],tblTecnicos[area],tblAsignaciones[[#This Row],[area]])</f>
        <v/>
      </c>
      <c r="G1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6" t="n"/>
      <c r="I192" s="3">
        <f>IF(tblAsignaciones[[#This Row],[turno_manual]]&lt;&gt;"",tblAsignaciones[[#This Row],[turno_manual]],IF(LEFT(tblAsignaciones[[#This Row],[posicion_ciclo]],1)="B","B",tblAsignaciones[[#This Row],[posicion_ciclo]]))</f>
        <v/>
      </c>
      <c r="J192" s="3">
        <f>_xlfn.XLOOKUP(tblAsignaciones[[#This Row],[tecnico]],tblTecnicos[nombre],tblTecnicos[coordinador],"")</f>
        <v/>
      </c>
      <c r="K1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2" s="3">
        <f>tblAsignaciones[[#This Row],[semana]]&amp;"|"&amp;tblAsignaciones[[#This Row],[dia]]&amp;"|"&amp;tblAsignaciones[[#This Row],[tecnico]]</f>
        <v/>
      </c>
      <c r="N192" s="3">
        <f>_xlfn.XLOOKUP(tblAsignaciones[[#This Row],[turno]],tblTurnos[turno],tblTurnos[hora_inicio],"")</f>
        <v/>
      </c>
      <c r="O192" s="3">
        <f>_xlfn.XLOOKUP(tblAsignaciones[[#This Row],[turno]],tblTurnos[turno],tblTurnos[hora_fin],"")</f>
        <v/>
      </c>
    </row>
    <row r="193">
      <c r="A193" s="3" t="inlineStr">
        <is>
          <t>2026-S30</t>
        </is>
      </c>
      <c r="B193" s="3" t="inlineStr">
        <is>
          <t>lunes</t>
        </is>
      </c>
      <c r="C193" s="3" t="inlineStr">
        <is>
          <t>Técnico 12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3">
        <f>COUNTIFS(tblTecnicos[rotativo],"SI",tblTecnicos[especialidad],tblAsignaciones[[#This Row],[especialidad]],tblTecnicos[area],tblAsignaciones[[#This Row],[area]])</f>
        <v/>
      </c>
      <c r="G1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6" t="n"/>
      <c r="I193" s="3">
        <f>IF(tblAsignaciones[[#This Row],[turno_manual]]&lt;&gt;"",tblAsignaciones[[#This Row],[turno_manual]],IF(LEFT(tblAsignaciones[[#This Row],[posicion_ciclo]],1)="B","B",tblAsignaciones[[#This Row],[posicion_ciclo]]))</f>
        <v/>
      </c>
      <c r="J193" s="3">
        <f>_xlfn.XLOOKUP(tblAsignaciones[[#This Row],[tecnico]],tblTecnicos[nombre],tblTecnicos[coordinador],"")</f>
        <v/>
      </c>
      <c r="K1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3" s="3">
        <f>tblAsignaciones[[#This Row],[semana]]&amp;"|"&amp;tblAsignaciones[[#This Row],[dia]]&amp;"|"&amp;tblAsignaciones[[#This Row],[tecnico]]</f>
        <v/>
      </c>
      <c r="N193" s="3">
        <f>_xlfn.XLOOKUP(tblAsignaciones[[#This Row],[turno]],tblTurnos[turno],tblTurnos[hora_inicio],"")</f>
        <v/>
      </c>
      <c r="O193" s="3">
        <f>_xlfn.XLOOKUP(tblAsignaciones[[#This Row],[turno]],tblTurnos[turno],tblTurnos[hora_fin],"")</f>
        <v/>
      </c>
    </row>
    <row r="194">
      <c r="A194" s="3" t="inlineStr">
        <is>
          <t>2026-S30</t>
        </is>
      </c>
      <c r="B194" s="3" t="inlineStr">
        <is>
          <t>martes</t>
        </is>
      </c>
      <c r="C194" s="3" t="inlineStr">
        <is>
          <t>Técnico 12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3">
        <f>COUNTIFS(tblTecnicos[rotativo],"SI",tblTecnicos[especialidad],tblAsignaciones[[#This Row],[especialidad]],tblTecnicos[area],tblAsignaciones[[#This Row],[area]])</f>
        <v/>
      </c>
      <c r="G1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6" t="n"/>
      <c r="I194" s="3">
        <f>IF(tblAsignaciones[[#This Row],[turno_manual]]&lt;&gt;"",tblAsignaciones[[#This Row],[turno_manual]],IF(LEFT(tblAsignaciones[[#This Row],[posicion_ciclo]],1)="B","B",tblAsignaciones[[#This Row],[posicion_ciclo]]))</f>
        <v/>
      </c>
      <c r="J194" s="3">
        <f>_xlfn.XLOOKUP(tblAsignaciones[[#This Row],[tecnico]],tblTecnicos[nombre],tblTecnicos[coordinador],"")</f>
        <v/>
      </c>
      <c r="K1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4" s="3">
        <f>tblAsignaciones[[#This Row],[semana]]&amp;"|"&amp;tblAsignaciones[[#This Row],[dia]]&amp;"|"&amp;tblAsignaciones[[#This Row],[tecnico]]</f>
        <v/>
      </c>
      <c r="N194" s="3">
        <f>_xlfn.XLOOKUP(tblAsignaciones[[#This Row],[turno]],tblTurnos[turno],tblTurnos[hora_inicio],"")</f>
        <v/>
      </c>
      <c r="O194" s="3">
        <f>_xlfn.XLOOKUP(tblAsignaciones[[#This Row],[turno]],tblTurnos[turno],tblTurnos[hora_fin],"")</f>
        <v/>
      </c>
    </row>
    <row r="195">
      <c r="A195" s="3" t="inlineStr">
        <is>
          <t>2026-S30</t>
        </is>
      </c>
      <c r="B195" s="3" t="inlineStr">
        <is>
          <t>miércoles</t>
        </is>
      </c>
      <c r="C195" s="3" t="inlineStr">
        <is>
          <t>Técnico 12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3">
        <f>COUNTIFS(tblTecnicos[rotativo],"SI",tblTecnicos[especialidad],tblAsignaciones[[#This Row],[especialidad]],tblTecnicos[area],tblAsignaciones[[#This Row],[area]])</f>
        <v/>
      </c>
      <c r="G1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6" t="n"/>
      <c r="I195" s="3">
        <f>IF(tblAsignaciones[[#This Row],[turno_manual]]&lt;&gt;"",tblAsignaciones[[#This Row],[turno_manual]],IF(LEFT(tblAsignaciones[[#This Row],[posicion_ciclo]],1)="B","B",tblAsignaciones[[#This Row],[posicion_ciclo]]))</f>
        <v/>
      </c>
      <c r="J195" s="3">
        <f>_xlfn.XLOOKUP(tblAsignaciones[[#This Row],[tecnico]],tblTecnicos[nombre],tblTecnicos[coordinador],"")</f>
        <v/>
      </c>
      <c r="K1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5" s="3">
        <f>tblAsignaciones[[#This Row],[semana]]&amp;"|"&amp;tblAsignaciones[[#This Row],[dia]]&amp;"|"&amp;tblAsignaciones[[#This Row],[tecnico]]</f>
        <v/>
      </c>
      <c r="N195" s="3">
        <f>_xlfn.XLOOKUP(tblAsignaciones[[#This Row],[turno]],tblTurnos[turno],tblTurnos[hora_inicio],"")</f>
        <v/>
      </c>
      <c r="O195" s="3">
        <f>_xlfn.XLOOKUP(tblAsignaciones[[#This Row],[turno]],tblTurnos[turno],tblTurnos[hora_fin],"")</f>
        <v/>
      </c>
    </row>
    <row r="196">
      <c r="A196" s="3" t="inlineStr">
        <is>
          <t>2026-S30</t>
        </is>
      </c>
      <c r="B196" s="3" t="inlineStr">
        <is>
          <t>jueves</t>
        </is>
      </c>
      <c r="C196" s="3" t="inlineStr">
        <is>
          <t>Técnico 12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3">
        <f>COUNTIFS(tblTecnicos[rotativo],"SI",tblTecnicos[especialidad],tblAsignaciones[[#This Row],[especialidad]],tblTecnicos[area],tblAsignaciones[[#This Row],[area]])</f>
        <v/>
      </c>
      <c r="G1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6" t="n"/>
      <c r="I196" s="3">
        <f>IF(tblAsignaciones[[#This Row],[turno_manual]]&lt;&gt;"",tblAsignaciones[[#This Row],[turno_manual]],IF(LEFT(tblAsignaciones[[#This Row],[posicion_ciclo]],1)="B","B",tblAsignaciones[[#This Row],[posicion_ciclo]]))</f>
        <v/>
      </c>
      <c r="J196" s="3">
        <f>_xlfn.XLOOKUP(tblAsignaciones[[#This Row],[tecnico]],tblTecnicos[nombre],tblTecnicos[coordinador],"")</f>
        <v/>
      </c>
      <c r="K1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6" s="3">
        <f>tblAsignaciones[[#This Row],[semana]]&amp;"|"&amp;tblAsignaciones[[#This Row],[dia]]&amp;"|"&amp;tblAsignaciones[[#This Row],[tecnico]]</f>
        <v/>
      </c>
      <c r="N196" s="3">
        <f>_xlfn.XLOOKUP(tblAsignaciones[[#This Row],[turno]],tblTurnos[turno],tblTurnos[hora_inicio],"")</f>
        <v/>
      </c>
      <c r="O196" s="3">
        <f>_xlfn.XLOOKUP(tblAsignaciones[[#This Row],[turno]],tblTurnos[turno],tblTurnos[hora_fin],"")</f>
        <v/>
      </c>
    </row>
    <row r="197">
      <c r="A197" s="3" t="inlineStr">
        <is>
          <t>2026-S30</t>
        </is>
      </c>
      <c r="B197" s="3" t="inlineStr">
        <is>
          <t>viernes</t>
        </is>
      </c>
      <c r="C197" s="3" t="inlineStr">
        <is>
          <t>Técnico 12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3">
        <f>COUNTIFS(tblTecnicos[rotativo],"SI",tblTecnicos[especialidad],tblAsignaciones[[#This Row],[especialidad]],tblTecnicos[area],tblAsignaciones[[#This Row],[area]])</f>
        <v/>
      </c>
      <c r="G1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6" t="n"/>
      <c r="I197" s="3">
        <f>IF(tblAsignaciones[[#This Row],[turno_manual]]&lt;&gt;"",tblAsignaciones[[#This Row],[turno_manual]],IF(LEFT(tblAsignaciones[[#This Row],[posicion_ciclo]],1)="B","B",tblAsignaciones[[#This Row],[posicion_ciclo]]))</f>
        <v/>
      </c>
      <c r="J197" s="3">
        <f>_xlfn.XLOOKUP(tblAsignaciones[[#This Row],[tecnico]],tblTecnicos[nombre],tblTecnicos[coordinador],"")</f>
        <v/>
      </c>
      <c r="K1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7" s="3">
        <f>tblAsignaciones[[#This Row],[semana]]&amp;"|"&amp;tblAsignaciones[[#This Row],[dia]]&amp;"|"&amp;tblAsignaciones[[#This Row],[tecnico]]</f>
        <v/>
      </c>
      <c r="N197" s="3">
        <f>_xlfn.XLOOKUP(tblAsignaciones[[#This Row],[turno]],tblTurnos[turno],tblTurnos[hora_inicio],"")</f>
        <v/>
      </c>
      <c r="O197" s="3">
        <f>_xlfn.XLOOKUP(tblAsignaciones[[#This Row],[turno]],tblTurnos[turno],tblTurnos[hora_fin],"")</f>
        <v/>
      </c>
    </row>
    <row r="198">
      <c r="A198" s="3" t="inlineStr">
        <is>
          <t>2026-S30</t>
        </is>
      </c>
      <c r="B198" s="3" t="inlineStr">
        <is>
          <t>sábado</t>
        </is>
      </c>
      <c r="C198" s="3" t="inlineStr">
        <is>
          <t>Técnico 12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3">
        <f>COUNTIFS(tblTecnicos[rotativo],"SI",tblTecnicos[especialidad],tblAsignaciones[[#This Row],[especialidad]],tblTecnicos[area],tblAsignaciones[[#This Row],[area]])</f>
        <v/>
      </c>
      <c r="G1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6" t="n"/>
      <c r="I198" s="3">
        <f>IF(tblAsignaciones[[#This Row],[turno_manual]]&lt;&gt;"",tblAsignaciones[[#This Row],[turno_manual]],IF(LEFT(tblAsignaciones[[#This Row],[posicion_ciclo]],1)="B","B",tblAsignaciones[[#This Row],[posicion_ciclo]]))</f>
        <v/>
      </c>
      <c r="J198" s="3">
        <f>_xlfn.XLOOKUP(tblAsignaciones[[#This Row],[tecnico]],tblTecnicos[nombre],tblTecnicos[coordinador],"")</f>
        <v/>
      </c>
      <c r="K1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8" s="3">
        <f>tblAsignaciones[[#This Row],[semana]]&amp;"|"&amp;tblAsignaciones[[#This Row],[dia]]&amp;"|"&amp;tblAsignaciones[[#This Row],[tecnico]]</f>
        <v/>
      </c>
      <c r="N198" s="3">
        <f>_xlfn.XLOOKUP(tblAsignaciones[[#This Row],[turno]],tblTurnos[turno],tblTurnos[hora_inicio],"")</f>
        <v/>
      </c>
      <c r="O198" s="3">
        <f>_xlfn.XLOOKUP(tblAsignaciones[[#This Row],[turno]],tblTurnos[turno],tblTurnos[hora_fin],"")</f>
        <v/>
      </c>
    </row>
    <row r="199">
      <c r="A199" s="3" t="inlineStr">
        <is>
          <t>2026-S30</t>
        </is>
      </c>
      <c r="B199" s="3" t="inlineStr">
        <is>
          <t>domingo</t>
        </is>
      </c>
      <c r="C199" s="3" t="inlineStr">
        <is>
          <t>Técnico 12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3">
        <f>COUNTIFS(tblTecnicos[rotativo],"SI",tblTecnicos[especialidad],tblAsignaciones[[#This Row],[especialidad]],tblTecnicos[area],tblAsignaciones[[#This Row],[area]])</f>
        <v/>
      </c>
      <c r="G1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6" t="n"/>
      <c r="I199" s="3">
        <f>IF(tblAsignaciones[[#This Row],[turno_manual]]&lt;&gt;"",tblAsignaciones[[#This Row],[turno_manual]],IF(LEFT(tblAsignaciones[[#This Row],[posicion_ciclo]],1)="B","B",tblAsignaciones[[#This Row],[posicion_ciclo]]))</f>
        <v/>
      </c>
      <c r="J199" s="3">
        <f>_xlfn.XLOOKUP(tblAsignaciones[[#This Row],[tecnico]],tblTecnicos[nombre],tblTecnicos[coordinador],"")</f>
        <v/>
      </c>
      <c r="K1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199" s="3">
        <f>tblAsignaciones[[#This Row],[semana]]&amp;"|"&amp;tblAsignaciones[[#This Row],[dia]]&amp;"|"&amp;tblAsignaciones[[#This Row],[tecnico]]</f>
        <v/>
      </c>
      <c r="N199" s="3">
        <f>_xlfn.XLOOKUP(tblAsignaciones[[#This Row],[turno]],tblTurnos[turno],tblTurnos[hora_inicio],"")</f>
        <v/>
      </c>
      <c r="O199" s="3">
        <f>_xlfn.XLOOKUP(tblAsignaciones[[#This Row],[turno]],tblTurnos[turno],tblTurnos[hora_fin],"")</f>
        <v/>
      </c>
    </row>
    <row r="200">
      <c r="A200" s="3" t="inlineStr">
        <is>
          <t>2026-S30</t>
        </is>
      </c>
      <c r="B200" s="3" t="inlineStr">
        <is>
          <t>lunes</t>
        </is>
      </c>
      <c r="C200" s="3" t="inlineStr">
        <is>
          <t>Técnico 13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3">
        <f>COUNTIFS(tblTecnicos[rotativo],"SI",tblTecnicos[especialidad],tblAsignaciones[[#This Row],[especialidad]],tblTecnicos[area],tblAsignaciones[[#This Row],[area]])</f>
        <v/>
      </c>
      <c r="G2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6" t="n"/>
      <c r="I200" s="3">
        <f>IF(tblAsignaciones[[#This Row],[turno_manual]]&lt;&gt;"",tblAsignaciones[[#This Row],[turno_manual]],IF(LEFT(tblAsignaciones[[#This Row],[posicion_ciclo]],1)="B","B",tblAsignaciones[[#This Row],[posicion_ciclo]]))</f>
        <v/>
      </c>
      <c r="J200" s="3">
        <f>_xlfn.XLOOKUP(tblAsignaciones[[#This Row],[tecnico]],tblTecnicos[nombre],tblTecnicos[coordinador],"")</f>
        <v/>
      </c>
      <c r="K2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0" s="3">
        <f>tblAsignaciones[[#This Row],[semana]]&amp;"|"&amp;tblAsignaciones[[#This Row],[dia]]&amp;"|"&amp;tblAsignaciones[[#This Row],[tecnico]]</f>
        <v/>
      </c>
      <c r="N200" s="3">
        <f>_xlfn.XLOOKUP(tblAsignaciones[[#This Row],[turno]],tblTurnos[turno],tblTurnos[hora_inicio],"")</f>
        <v/>
      </c>
      <c r="O200" s="3">
        <f>_xlfn.XLOOKUP(tblAsignaciones[[#This Row],[turno]],tblTurnos[turno],tblTurnos[hora_fin],"")</f>
        <v/>
      </c>
    </row>
    <row r="201">
      <c r="A201" s="3" t="inlineStr">
        <is>
          <t>2026-S30</t>
        </is>
      </c>
      <c r="B201" s="3" t="inlineStr">
        <is>
          <t>martes</t>
        </is>
      </c>
      <c r="C201" s="3" t="inlineStr">
        <is>
          <t>Técnico 13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3">
        <f>COUNTIFS(tblTecnicos[rotativo],"SI",tblTecnicos[especialidad],tblAsignaciones[[#This Row],[especialidad]],tblTecnicos[area],tblAsignaciones[[#This Row],[area]])</f>
        <v/>
      </c>
      <c r="G2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6" t="n"/>
      <c r="I201" s="3">
        <f>IF(tblAsignaciones[[#This Row],[turno_manual]]&lt;&gt;"",tblAsignaciones[[#This Row],[turno_manual]],IF(LEFT(tblAsignaciones[[#This Row],[posicion_ciclo]],1)="B","B",tblAsignaciones[[#This Row],[posicion_ciclo]]))</f>
        <v/>
      </c>
      <c r="J201" s="3">
        <f>_xlfn.XLOOKUP(tblAsignaciones[[#This Row],[tecnico]],tblTecnicos[nombre],tblTecnicos[coordinador],"")</f>
        <v/>
      </c>
      <c r="K2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1" s="3">
        <f>tblAsignaciones[[#This Row],[semana]]&amp;"|"&amp;tblAsignaciones[[#This Row],[dia]]&amp;"|"&amp;tblAsignaciones[[#This Row],[tecnico]]</f>
        <v/>
      </c>
      <c r="N201" s="3">
        <f>_xlfn.XLOOKUP(tblAsignaciones[[#This Row],[turno]],tblTurnos[turno],tblTurnos[hora_inicio],"")</f>
        <v/>
      </c>
      <c r="O201" s="3">
        <f>_xlfn.XLOOKUP(tblAsignaciones[[#This Row],[turno]],tblTurnos[turno],tblTurnos[hora_fin],"")</f>
        <v/>
      </c>
    </row>
    <row r="202">
      <c r="A202" s="3" t="inlineStr">
        <is>
          <t>2026-S30</t>
        </is>
      </c>
      <c r="B202" s="3" t="inlineStr">
        <is>
          <t>miércoles</t>
        </is>
      </c>
      <c r="C202" s="3" t="inlineStr">
        <is>
          <t>Técnico 13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3">
        <f>COUNTIFS(tblTecnicos[rotativo],"SI",tblTecnicos[especialidad],tblAsignaciones[[#This Row],[especialidad]],tblTecnicos[area],tblAsignaciones[[#This Row],[area]])</f>
        <v/>
      </c>
      <c r="G2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6" t="n"/>
      <c r="I202" s="3">
        <f>IF(tblAsignaciones[[#This Row],[turno_manual]]&lt;&gt;"",tblAsignaciones[[#This Row],[turno_manual]],IF(LEFT(tblAsignaciones[[#This Row],[posicion_ciclo]],1)="B","B",tblAsignaciones[[#This Row],[posicion_ciclo]]))</f>
        <v/>
      </c>
      <c r="J202" s="3">
        <f>_xlfn.XLOOKUP(tblAsignaciones[[#This Row],[tecnico]],tblTecnicos[nombre],tblTecnicos[coordinador],"")</f>
        <v/>
      </c>
      <c r="K2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2" s="3">
        <f>tblAsignaciones[[#This Row],[semana]]&amp;"|"&amp;tblAsignaciones[[#This Row],[dia]]&amp;"|"&amp;tblAsignaciones[[#This Row],[tecnico]]</f>
        <v/>
      </c>
      <c r="N202" s="3">
        <f>_xlfn.XLOOKUP(tblAsignaciones[[#This Row],[turno]],tblTurnos[turno],tblTurnos[hora_inicio],"")</f>
        <v/>
      </c>
      <c r="O202" s="3">
        <f>_xlfn.XLOOKUP(tblAsignaciones[[#This Row],[turno]],tblTurnos[turno],tblTurnos[hora_fin],"")</f>
        <v/>
      </c>
    </row>
    <row r="203">
      <c r="A203" s="3" t="inlineStr">
        <is>
          <t>2026-S30</t>
        </is>
      </c>
      <c r="B203" s="3" t="inlineStr">
        <is>
          <t>jueves</t>
        </is>
      </c>
      <c r="C203" s="3" t="inlineStr">
        <is>
          <t>Técnico 13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3">
        <f>COUNTIFS(tblTecnicos[rotativo],"SI",tblTecnicos[especialidad],tblAsignaciones[[#This Row],[especialidad]],tblTecnicos[area],tblAsignaciones[[#This Row],[area]])</f>
        <v/>
      </c>
      <c r="G2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6" t="n"/>
      <c r="I203" s="3">
        <f>IF(tblAsignaciones[[#This Row],[turno_manual]]&lt;&gt;"",tblAsignaciones[[#This Row],[turno_manual]],IF(LEFT(tblAsignaciones[[#This Row],[posicion_ciclo]],1)="B","B",tblAsignaciones[[#This Row],[posicion_ciclo]]))</f>
        <v/>
      </c>
      <c r="J203" s="3">
        <f>_xlfn.XLOOKUP(tblAsignaciones[[#This Row],[tecnico]],tblTecnicos[nombre],tblTecnicos[coordinador],"")</f>
        <v/>
      </c>
      <c r="K2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3" s="3">
        <f>tblAsignaciones[[#This Row],[semana]]&amp;"|"&amp;tblAsignaciones[[#This Row],[dia]]&amp;"|"&amp;tblAsignaciones[[#This Row],[tecnico]]</f>
        <v/>
      </c>
      <c r="N203" s="3">
        <f>_xlfn.XLOOKUP(tblAsignaciones[[#This Row],[turno]],tblTurnos[turno],tblTurnos[hora_inicio],"")</f>
        <v/>
      </c>
      <c r="O203" s="3">
        <f>_xlfn.XLOOKUP(tblAsignaciones[[#This Row],[turno]],tblTurnos[turno],tblTurnos[hora_fin],"")</f>
        <v/>
      </c>
    </row>
    <row r="204">
      <c r="A204" s="3" t="inlineStr">
        <is>
          <t>2026-S30</t>
        </is>
      </c>
      <c r="B204" s="3" t="inlineStr">
        <is>
          <t>viernes</t>
        </is>
      </c>
      <c r="C204" s="3" t="inlineStr">
        <is>
          <t>Técnico 13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3">
        <f>COUNTIFS(tblTecnicos[rotativo],"SI",tblTecnicos[especialidad],tblAsignaciones[[#This Row],[especialidad]],tblTecnicos[area],tblAsignaciones[[#This Row],[area]])</f>
        <v/>
      </c>
      <c r="G2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6" t="n"/>
      <c r="I204" s="3">
        <f>IF(tblAsignaciones[[#This Row],[turno_manual]]&lt;&gt;"",tblAsignaciones[[#This Row],[turno_manual]],IF(LEFT(tblAsignaciones[[#This Row],[posicion_ciclo]],1)="B","B",tblAsignaciones[[#This Row],[posicion_ciclo]]))</f>
        <v/>
      </c>
      <c r="J204" s="3">
        <f>_xlfn.XLOOKUP(tblAsignaciones[[#This Row],[tecnico]],tblTecnicos[nombre],tblTecnicos[coordinador],"")</f>
        <v/>
      </c>
      <c r="K2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4" s="3">
        <f>tblAsignaciones[[#This Row],[semana]]&amp;"|"&amp;tblAsignaciones[[#This Row],[dia]]&amp;"|"&amp;tblAsignaciones[[#This Row],[tecnico]]</f>
        <v/>
      </c>
      <c r="N204" s="3">
        <f>_xlfn.XLOOKUP(tblAsignaciones[[#This Row],[turno]],tblTurnos[turno],tblTurnos[hora_inicio],"")</f>
        <v/>
      </c>
      <c r="O204" s="3">
        <f>_xlfn.XLOOKUP(tblAsignaciones[[#This Row],[turno]],tblTurnos[turno],tblTurnos[hora_fin],"")</f>
        <v/>
      </c>
    </row>
    <row r="205">
      <c r="A205" s="3" t="inlineStr">
        <is>
          <t>2026-S30</t>
        </is>
      </c>
      <c r="B205" s="3" t="inlineStr">
        <is>
          <t>sábado</t>
        </is>
      </c>
      <c r="C205" s="3" t="inlineStr">
        <is>
          <t>Técnico 13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3">
        <f>COUNTIFS(tblTecnicos[rotativo],"SI",tblTecnicos[especialidad],tblAsignaciones[[#This Row],[especialidad]],tblTecnicos[area],tblAsignaciones[[#This Row],[area]])</f>
        <v/>
      </c>
      <c r="G2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6" t="n"/>
      <c r="I205" s="3">
        <f>IF(tblAsignaciones[[#This Row],[turno_manual]]&lt;&gt;"",tblAsignaciones[[#This Row],[turno_manual]],IF(LEFT(tblAsignaciones[[#This Row],[posicion_ciclo]],1)="B","B",tblAsignaciones[[#This Row],[posicion_ciclo]]))</f>
        <v/>
      </c>
      <c r="J205" s="3">
        <f>_xlfn.XLOOKUP(tblAsignaciones[[#This Row],[tecnico]],tblTecnicos[nombre],tblTecnicos[coordinador],"")</f>
        <v/>
      </c>
      <c r="K2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5" s="3">
        <f>tblAsignaciones[[#This Row],[semana]]&amp;"|"&amp;tblAsignaciones[[#This Row],[dia]]&amp;"|"&amp;tblAsignaciones[[#This Row],[tecnico]]</f>
        <v/>
      </c>
      <c r="N205" s="3">
        <f>_xlfn.XLOOKUP(tblAsignaciones[[#This Row],[turno]],tblTurnos[turno],tblTurnos[hora_inicio],"")</f>
        <v/>
      </c>
      <c r="O205" s="3">
        <f>_xlfn.XLOOKUP(tblAsignaciones[[#This Row],[turno]],tblTurnos[turno],tblTurnos[hora_fin],"")</f>
        <v/>
      </c>
    </row>
    <row r="206">
      <c r="A206" s="3" t="inlineStr">
        <is>
          <t>2026-S30</t>
        </is>
      </c>
      <c r="B206" s="3" t="inlineStr">
        <is>
          <t>domingo</t>
        </is>
      </c>
      <c r="C206" s="3" t="inlineStr">
        <is>
          <t>Técnico 13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3">
        <f>COUNTIFS(tblTecnicos[rotativo],"SI",tblTecnicos[especialidad],tblAsignaciones[[#This Row],[especialidad]],tblTecnicos[area],tblAsignaciones[[#This Row],[area]])</f>
        <v/>
      </c>
      <c r="G2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6" t="n"/>
      <c r="I206" s="3">
        <f>IF(tblAsignaciones[[#This Row],[turno_manual]]&lt;&gt;"",tblAsignaciones[[#This Row],[turno_manual]],IF(LEFT(tblAsignaciones[[#This Row],[posicion_ciclo]],1)="B","B",tblAsignaciones[[#This Row],[posicion_ciclo]]))</f>
        <v/>
      </c>
      <c r="J206" s="3">
        <f>_xlfn.XLOOKUP(tblAsignaciones[[#This Row],[tecnico]],tblTecnicos[nombre],tblTecnicos[coordinador],"")</f>
        <v/>
      </c>
      <c r="K2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6" s="3">
        <f>tblAsignaciones[[#This Row],[semana]]&amp;"|"&amp;tblAsignaciones[[#This Row],[dia]]&amp;"|"&amp;tblAsignaciones[[#This Row],[tecnico]]</f>
        <v/>
      </c>
      <c r="N206" s="3">
        <f>_xlfn.XLOOKUP(tblAsignaciones[[#This Row],[turno]],tblTurnos[turno],tblTurnos[hora_inicio],"")</f>
        <v/>
      </c>
      <c r="O206" s="3">
        <f>_xlfn.XLOOKUP(tblAsignaciones[[#This Row],[turno]],tblTurnos[turno],tblTurnos[hora_fin],"")</f>
        <v/>
      </c>
    </row>
    <row r="207">
      <c r="A207" s="3" t="inlineStr">
        <is>
          <t>2026-S30</t>
        </is>
      </c>
      <c r="B207" s="3" t="inlineStr">
        <is>
          <t>lunes</t>
        </is>
      </c>
      <c r="C207" s="3" t="inlineStr">
        <is>
          <t>Técnico 14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3">
        <f>COUNTIFS(tblTecnicos[rotativo],"SI",tblTecnicos[especialidad],tblAsignaciones[[#This Row],[especialidad]],tblTecnicos[area],tblAsignaciones[[#This Row],[area]])</f>
        <v/>
      </c>
      <c r="G2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6" t="n"/>
      <c r="I207" s="3">
        <f>IF(tblAsignaciones[[#This Row],[turno_manual]]&lt;&gt;"",tblAsignaciones[[#This Row],[turno_manual]],IF(LEFT(tblAsignaciones[[#This Row],[posicion_ciclo]],1)="B","B",tblAsignaciones[[#This Row],[posicion_ciclo]]))</f>
        <v/>
      </c>
      <c r="J207" s="3">
        <f>_xlfn.XLOOKUP(tblAsignaciones[[#This Row],[tecnico]],tblTecnicos[nombre],tblTecnicos[coordinador],"")</f>
        <v/>
      </c>
      <c r="K2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7" s="3">
        <f>tblAsignaciones[[#This Row],[semana]]&amp;"|"&amp;tblAsignaciones[[#This Row],[dia]]&amp;"|"&amp;tblAsignaciones[[#This Row],[tecnico]]</f>
        <v/>
      </c>
      <c r="N207" s="3">
        <f>_xlfn.XLOOKUP(tblAsignaciones[[#This Row],[turno]],tblTurnos[turno],tblTurnos[hora_inicio],"")</f>
        <v/>
      </c>
      <c r="O207" s="3">
        <f>_xlfn.XLOOKUP(tblAsignaciones[[#This Row],[turno]],tblTurnos[turno],tblTurnos[hora_fin],"")</f>
        <v/>
      </c>
    </row>
    <row r="208">
      <c r="A208" s="3" t="inlineStr">
        <is>
          <t>2026-S30</t>
        </is>
      </c>
      <c r="B208" s="3" t="inlineStr">
        <is>
          <t>martes</t>
        </is>
      </c>
      <c r="C208" s="3" t="inlineStr">
        <is>
          <t>Técnico 14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3">
        <f>COUNTIFS(tblTecnicos[rotativo],"SI",tblTecnicos[especialidad],tblAsignaciones[[#This Row],[especialidad]],tblTecnicos[area],tblAsignaciones[[#This Row],[area]])</f>
        <v/>
      </c>
      <c r="G2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6" t="n"/>
      <c r="I208" s="3">
        <f>IF(tblAsignaciones[[#This Row],[turno_manual]]&lt;&gt;"",tblAsignaciones[[#This Row],[turno_manual]],IF(LEFT(tblAsignaciones[[#This Row],[posicion_ciclo]],1)="B","B",tblAsignaciones[[#This Row],[posicion_ciclo]]))</f>
        <v/>
      </c>
      <c r="J208" s="3">
        <f>_xlfn.XLOOKUP(tblAsignaciones[[#This Row],[tecnico]],tblTecnicos[nombre],tblTecnicos[coordinador],"")</f>
        <v/>
      </c>
      <c r="K2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8" s="3">
        <f>tblAsignaciones[[#This Row],[semana]]&amp;"|"&amp;tblAsignaciones[[#This Row],[dia]]&amp;"|"&amp;tblAsignaciones[[#This Row],[tecnico]]</f>
        <v/>
      </c>
      <c r="N208" s="3">
        <f>_xlfn.XLOOKUP(tblAsignaciones[[#This Row],[turno]],tblTurnos[turno],tblTurnos[hora_inicio],"")</f>
        <v/>
      </c>
      <c r="O208" s="3">
        <f>_xlfn.XLOOKUP(tblAsignaciones[[#This Row],[turno]],tblTurnos[turno],tblTurnos[hora_fin],"")</f>
        <v/>
      </c>
    </row>
    <row r="209">
      <c r="A209" s="3" t="inlineStr">
        <is>
          <t>2026-S30</t>
        </is>
      </c>
      <c r="B209" s="3" t="inlineStr">
        <is>
          <t>miércoles</t>
        </is>
      </c>
      <c r="C209" s="3" t="inlineStr">
        <is>
          <t>Técnico 14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3">
        <f>COUNTIFS(tblTecnicos[rotativo],"SI",tblTecnicos[especialidad],tblAsignaciones[[#This Row],[especialidad]],tblTecnicos[area],tblAsignaciones[[#This Row],[area]])</f>
        <v/>
      </c>
      <c r="G2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6" t="n"/>
      <c r="I209" s="3">
        <f>IF(tblAsignaciones[[#This Row],[turno_manual]]&lt;&gt;"",tblAsignaciones[[#This Row],[turno_manual]],IF(LEFT(tblAsignaciones[[#This Row],[posicion_ciclo]],1)="B","B",tblAsignaciones[[#This Row],[posicion_ciclo]]))</f>
        <v/>
      </c>
      <c r="J209" s="3">
        <f>_xlfn.XLOOKUP(tblAsignaciones[[#This Row],[tecnico]],tblTecnicos[nombre],tblTecnicos[coordinador],"")</f>
        <v/>
      </c>
      <c r="K2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09" s="3">
        <f>tblAsignaciones[[#This Row],[semana]]&amp;"|"&amp;tblAsignaciones[[#This Row],[dia]]&amp;"|"&amp;tblAsignaciones[[#This Row],[tecnico]]</f>
        <v/>
      </c>
      <c r="N209" s="3">
        <f>_xlfn.XLOOKUP(tblAsignaciones[[#This Row],[turno]],tblTurnos[turno],tblTurnos[hora_inicio],"")</f>
        <v/>
      </c>
      <c r="O209" s="3">
        <f>_xlfn.XLOOKUP(tblAsignaciones[[#This Row],[turno]],tblTurnos[turno],tblTurnos[hora_fin],"")</f>
        <v/>
      </c>
    </row>
    <row r="210">
      <c r="A210" s="3" t="inlineStr">
        <is>
          <t>2026-S30</t>
        </is>
      </c>
      <c r="B210" s="3" t="inlineStr">
        <is>
          <t>jueves</t>
        </is>
      </c>
      <c r="C210" s="3" t="inlineStr">
        <is>
          <t>Técnico 14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3">
        <f>COUNTIFS(tblTecnicos[rotativo],"SI",tblTecnicos[especialidad],tblAsignaciones[[#This Row],[especialidad]],tblTecnicos[area],tblAsignaciones[[#This Row],[area]])</f>
        <v/>
      </c>
      <c r="G2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6" t="n"/>
      <c r="I210" s="3">
        <f>IF(tblAsignaciones[[#This Row],[turno_manual]]&lt;&gt;"",tblAsignaciones[[#This Row],[turno_manual]],IF(LEFT(tblAsignaciones[[#This Row],[posicion_ciclo]],1)="B","B",tblAsignaciones[[#This Row],[posicion_ciclo]]))</f>
        <v/>
      </c>
      <c r="J210" s="3">
        <f>_xlfn.XLOOKUP(tblAsignaciones[[#This Row],[tecnico]],tblTecnicos[nombre],tblTecnicos[coordinador],"")</f>
        <v/>
      </c>
      <c r="K2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0" s="3">
        <f>tblAsignaciones[[#This Row],[semana]]&amp;"|"&amp;tblAsignaciones[[#This Row],[dia]]&amp;"|"&amp;tblAsignaciones[[#This Row],[tecnico]]</f>
        <v/>
      </c>
      <c r="N210" s="3">
        <f>_xlfn.XLOOKUP(tblAsignaciones[[#This Row],[turno]],tblTurnos[turno],tblTurnos[hora_inicio],"")</f>
        <v/>
      </c>
      <c r="O210" s="3">
        <f>_xlfn.XLOOKUP(tblAsignaciones[[#This Row],[turno]],tblTurnos[turno],tblTurnos[hora_fin],"")</f>
        <v/>
      </c>
    </row>
    <row r="211">
      <c r="A211" s="3" t="inlineStr">
        <is>
          <t>2026-S30</t>
        </is>
      </c>
      <c r="B211" s="3" t="inlineStr">
        <is>
          <t>viernes</t>
        </is>
      </c>
      <c r="C211" s="3" t="inlineStr">
        <is>
          <t>Técnico 14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3">
        <f>COUNTIFS(tblTecnicos[rotativo],"SI",tblTecnicos[especialidad],tblAsignaciones[[#This Row],[especialidad]],tblTecnicos[area],tblAsignaciones[[#This Row],[area]])</f>
        <v/>
      </c>
      <c r="G2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6" t="n"/>
      <c r="I211" s="3">
        <f>IF(tblAsignaciones[[#This Row],[turno_manual]]&lt;&gt;"",tblAsignaciones[[#This Row],[turno_manual]],IF(LEFT(tblAsignaciones[[#This Row],[posicion_ciclo]],1)="B","B",tblAsignaciones[[#This Row],[posicion_ciclo]]))</f>
        <v/>
      </c>
      <c r="J211" s="3">
        <f>_xlfn.XLOOKUP(tblAsignaciones[[#This Row],[tecnico]],tblTecnicos[nombre],tblTecnicos[coordinador],"")</f>
        <v/>
      </c>
      <c r="K2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1" s="3">
        <f>tblAsignaciones[[#This Row],[semana]]&amp;"|"&amp;tblAsignaciones[[#This Row],[dia]]&amp;"|"&amp;tblAsignaciones[[#This Row],[tecnico]]</f>
        <v/>
      </c>
      <c r="N211" s="3">
        <f>_xlfn.XLOOKUP(tblAsignaciones[[#This Row],[turno]],tblTurnos[turno],tblTurnos[hora_inicio],"")</f>
        <v/>
      </c>
      <c r="O211" s="3">
        <f>_xlfn.XLOOKUP(tblAsignaciones[[#This Row],[turno]],tblTurnos[turno],tblTurnos[hora_fin],"")</f>
        <v/>
      </c>
    </row>
    <row r="212">
      <c r="A212" s="3" t="inlineStr">
        <is>
          <t>2026-S30</t>
        </is>
      </c>
      <c r="B212" s="3" t="inlineStr">
        <is>
          <t>sábado</t>
        </is>
      </c>
      <c r="C212" s="3" t="inlineStr">
        <is>
          <t>Técnico 14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3">
        <f>COUNTIFS(tblTecnicos[rotativo],"SI",tblTecnicos[especialidad],tblAsignaciones[[#This Row],[especialidad]],tblTecnicos[area],tblAsignaciones[[#This Row],[area]])</f>
        <v/>
      </c>
      <c r="G2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6" t="n"/>
      <c r="I212" s="3">
        <f>IF(tblAsignaciones[[#This Row],[turno_manual]]&lt;&gt;"",tblAsignaciones[[#This Row],[turno_manual]],IF(LEFT(tblAsignaciones[[#This Row],[posicion_ciclo]],1)="B","B",tblAsignaciones[[#This Row],[posicion_ciclo]]))</f>
        <v/>
      </c>
      <c r="J212" s="3">
        <f>_xlfn.XLOOKUP(tblAsignaciones[[#This Row],[tecnico]],tblTecnicos[nombre],tblTecnicos[coordinador],"")</f>
        <v/>
      </c>
      <c r="K2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2" s="3">
        <f>tblAsignaciones[[#This Row],[semana]]&amp;"|"&amp;tblAsignaciones[[#This Row],[dia]]&amp;"|"&amp;tblAsignaciones[[#This Row],[tecnico]]</f>
        <v/>
      </c>
      <c r="N212" s="3">
        <f>_xlfn.XLOOKUP(tblAsignaciones[[#This Row],[turno]],tblTurnos[turno],tblTurnos[hora_inicio],"")</f>
        <v/>
      </c>
      <c r="O212" s="3">
        <f>_xlfn.XLOOKUP(tblAsignaciones[[#This Row],[turno]],tblTurnos[turno],tblTurnos[hora_fin],"")</f>
        <v/>
      </c>
    </row>
    <row r="213">
      <c r="A213" s="3" t="inlineStr">
        <is>
          <t>2026-S30</t>
        </is>
      </c>
      <c r="B213" s="3" t="inlineStr">
        <is>
          <t>domingo</t>
        </is>
      </c>
      <c r="C213" s="3" t="inlineStr">
        <is>
          <t>Técnico 14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3">
        <f>COUNTIFS(tblTecnicos[rotativo],"SI",tblTecnicos[especialidad],tblAsignaciones[[#This Row],[especialidad]],tblTecnicos[area],tblAsignaciones[[#This Row],[area]])</f>
        <v/>
      </c>
      <c r="G2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6" t="n"/>
      <c r="I213" s="3">
        <f>IF(tblAsignaciones[[#This Row],[turno_manual]]&lt;&gt;"",tblAsignaciones[[#This Row],[turno_manual]],IF(LEFT(tblAsignaciones[[#This Row],[posicion_ciclo]],1)="B","B",tblAsignaciones[[#This Row],[posicion_ciclo]]))</f>
        <v/>
      </c>
      <c r="J213" s="3">
        <f>_xlfn.XLOOKUP(tblAsignaciones[[#This Row],[tecnico]],tblTecnicos[nombre],tblTecnicos[coordinador],"")</f>
        <v/>
      </c>
      <c r="K2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3" s="3">
        <f>tblAsignaciones[[#This Row],[semana]]&amp;"|"&amp;tblAsignaciones[[#This Row],[dia]]&amp;"|"&amp;tblAsignaciones[[#This Row],[tecnico]]</f>
        <v/>
      </c>
      <c r="N213" s="3">
        <f>_xlfn.XLOOKUP(tblAsignaciones[[#This Row],[turno]],tblTurnos[turno],tblTurnos[hora_inicio],"")</f>
        <v/>
      </c>
      <c r="O213" s="3">
        <f>_xlfn.XLOOKUP(tblAsignaciones[[#This Row],[turno]],tblTurnos[turno],tblTurnos[hora_fin],"")</f>
        <v/>
      </c>
    </row>
    <row r="214">
      <c r="A214" s="3" t="inlineStr">
        <is>
          <t>2026-S30</t>
        </is>
      </c>
      <c r="B214" s="3" t="inlineStr">
        <is>
          <t>lunes</t>
        </is>
      </c>
      <c r="C214" s="3" t="inlineStr">
        <is>
          <t>Técnico 15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3">
        <f>COUNTIFS(tblTecnicos[rotativo],"SI",tblTecnicos[especialidad],tblAsignaciones[[#This Row],[especialidad]],tblTecnicos[area],tblAsignaciones[[#This Row],[area]])</f>
        <v/>
      </c>
      <c r="G2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6" t="n"/>
      <c r="I214" s="3">
        <f>IF(tblAsignaciones[[#This Row],[turno_manual]]&lt;&gt;"",tblAsignaciones[[#This Row],[turno_manual]],IF(LEFT(tblAsignaciones[[#This Row],[posicion_ciclo]],1)="B","B",tblAsignaciones[[#This Row],[posicion_ciclo]]))</f>
        <v/>
      </c>
      <c r="J214" s="3">
        <f>_xlfn.XLOOKUP(tblAsignaciones[[#This Row],[tecnico]],tblTecnicos[nombre],tblTecnicos[coordinador],"")</f>
        <v/>
      </c>
      <c r="K2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4" s="3">
        <f>tblAsignaciones[[#This Row],[semana]]&amp;"|"&amp;tblAsignaciones[[#This Row],[dia]]&amp;"|"&amp;tblAsignaciones[[#This Row],[tecnico]]</f>
        <v/>
      </c>
      <c r="N214" s="3">
        <f>_xlfn.XLOOKUP(tblAsignaciones[[#This Row],[turno]],tblTurnos[turno],tblTurnos[hora_inicio],"")</f>
        <v/>
      </c>
      <c r="O214" s="3">
        <f>_xlfn.XLOOKUP(tblAsignaciones[[#This Row],[turno]],tblTurnos[turno],tblTurnos[hora_fin],"")</f>
        <v/>
      </c>
    </row>
    <row r="215">
      <c r="A215" s="3" t="inlineStr">
        <is>
          <t>2026-S30</t>
        </is>
      </c>
      <c r="B215" s="3" t="inlineStr">
        <is>
          <t>martes</t>
        </is>
      </c>
      <c r="C215" s="3" t="inlineStr">
        <is>
          <t>Técnico 15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3">
        <f>COUNTIFS(tblTecnicos[rotativo],"SI",tblTecnicos[especialidad],tblAsignaciones[[#This Row],[especialidad]],tblTecnicos[area],tblAsignaciones[[#This Row],[area]])</f>
        <v/>
      </c>
      <c r="G2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6" t="n"/>
      <c r="I215" s="3">
        <f>IF(tblAsignaciones[[#This Row],[turno_manual]]&lt;&gt;"",tblAsignaciones[[#This Row],[turno_manual]],IF(LEFT(tblAsignaciones[[#This Row],[posicion_ciclo]],1)="B","B",tblAsignaciones[[#This Row],[posicion_ciclo]]))</f>
        <v/>
      </c>
      <c r="J215" s="3">
        <f>_xlfn.XLOOKUP(tblAsignaciones[[#This Row],[tecnico]],tblTecnicos[nombre],tblTecnicos[coordinador],"")</f>
        <v/>
      </c>
      <c r="K2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5" s="3">
        <f>tblAsignaciones[[#This Row],[semana]]&amp;"|"&amp;tblAsignaciones[[#This Row],[dia]]&amp;"|"&amp;tblAsignaciones[[#This Row],[tecnico]]</f>
        <v/>
      </c>
      <c r="N215" s="3">
        <f>_xlfn.XLOOKUP(tblAsignaciones[[#This Row],[turno]],tblTurnos[turno],tblTurnos[hora_inicio],"")</f>
        <v/>
      </c>
      <c r="O215" s="3">
        <f>_xlfn.XLOOKUP(tblAsignaciones[[#This Row],[turno]],tblTurnos[turno],tblTurnos[hora_fin],"")</f>
        <v/>
      </c>
    </row>
    <row r="216">
      <c r="A216" s="3" t="inlineStr">
        <is>
          <t>2026-S30</t>
        </is>
      </c>
      <c r="B216" s="3" t="inlineStr">
        <is>
          <t>miércoles</t>
        </is>
      </c>
      <c r="C216" s="3" t="inlineStr">
        <is>
          <t>Técnico 15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3">
        <f>COUNTIFS(tblTecnicos[rotativo],"SI",tblTecnicos[especialidad],tblAsignaciones[[#This Row],[especialidad]],tblTecnicos[area],tblAsignaciones[[#This Row],[area]])</f>
        <v/>
      </c>
      <c r="G2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6" t="n"/>
      <c r="I216" s="3">
        <f>IF(tblAsignaciones[[#This Row],[turno_manual]]&lt;&gt;"",tblAsignaciones[[#This Row],[turno_manual]],IF(LEFT(tblAsignaciones[[#This Row],[posicion_ciclo]],1)="B","B",tblAsignaciones[[#This Row],[posicion_ciclo]]))</f>
        <v/>
      </c>
      <c r="J216" s="3">
        <f>_xlfn.XLOOKUP(tblAsignaciones[[#This Row],[tecnico]],tblTecnicos[nombre],tblTecnicos[coordinador],"")</f>
        <v/>
      </c>
      <c r="K2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6" s="3">
        <f>tblAsignaciones[[#This Row],[semana]]&amp;"|"&amp;tblAsignaciones[[#This Row],[dia]]&amp;"|"&amp;tblAsignaciones[[#This Row],[tecnico]]</f>
        <v/>
      </c>
      <c r="N216" s="3">
        <f>_xlfn.XLOOKUP(tblAsignaciones[[#This Row],[turno]],tblTurnos[turno],tblTurnos[hora_inicio],"")</f>
        <v/>
      </c>
      <c r="O216" s="3">
        <f>_xlfn.XLOOKUP(tblAsignaciones[[#This Row],[turno]],tblTurnos[turno],tblTurnos[hora_fin],"")</f>
        <v/>
      </c>
    </row>
    <row r="217">
      <c r="A217" s="3" t="inlineStr">
        <is>
          <t>2026-S30</t>
        </is>
      </c>
      <c r="B217" s="3" t="inlineStr">
        <is>
          <t>jueves</t>
        </is>
      </c>
      <c r="C217" s="3" t="inlineStr">
        <is>
          <t>Técnico 15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3">
        <f>COUNTIFS(tblTecnicos[rotativo],"SI",tblTecnicos[especialidad],tblAsignaciones[[#This Row],[especialidad]],tblTecnicos[area],tblAsignaciones[[#This Row],[area]])</f>
        <v/>
      </c>
      <c r="G2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6" t="n"/>
      <c r="I217" s="3">
        <f>IF(tblAsignaciones[[#This Row],[turno_manual]]&lt;&gt;"",tblAsignaciones[[#This Row],[turno_manual]],IF(LEFT(tblAsignaciones[[#This Row],[posicion_ciclo]],1)="B","B",tblAsignaciones[[#This Row],[posicion_ciclo]]))</f>
        <v/>
      </c>
      <c r="J217" s="3">
        <f>_xlfn.XLOOKUP(tblAsignaciones[[#This Row],[tecnico]],tblTecnicos[nombre],tblTecnicos[coordinador],"")</f>
        <v/>
      </c>
      <c r="K2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7" s="3">
        <f>tblAsignaciones[[#This Row],[semana]]&amp;"|"&amp;tblAsignaciones[[#This Row],[dia]]&amp;"|"&amp;tblAsignaciones[[#This Row],[tecnico]]</f>
        <v/>
      </c>
      <c r="N217" s="3">
        <f>_xlfn.XLOOKUP(tblAsignaciones[[#This Row],[turno]],tblTurnos[turno],tblTurnos[hora_inicio],"")</f>
        <v/>
      </c>
      <c r="O217" s="3">
        <f>_xlfn.XLOOKUP(tblAsignaciones[[#This Row],[turno]],tblTurnos[turno],tblTurnos[hora_fin],"")</f>
        <v/>
      </c>
    </row>
    <row r="218">
      <c r="A218" s="3" t="inlineStr">
        <is>
          <t>2026-S30</t>
        </is>
      </c>
      <c r="B218" s="3" t="inlineStr">
        <is>
          <t>viernes</t>
        </is>
      </c>
      <c r="C218" s="3" t="inlineStr">
        <is>
          <t>Técnico 15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3">
        <f>COUNTIFS(tblTecnicos[rotativo],"SI",tblTecnicos[especialidad],tblAsignaciones[[#This Row],[especialidad]],tblTecnicos[area],tblAsignaciones[[#This Row],[area]])</f>
        <v/>
      </c>
      <c r="G2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6" t="n"/>
      <c r="I218" s="3">
        <f>IF(tblAsignaciones[[#This Row],[turno_manual]]&lt;&gt;"",tblAsignaciones[[#This Row],[turno_manual]],IF(LEFT(tblAsignaciones[[#This Row],[posicion_ciclo]],1)="B","B",tblAsignaciones[[#This Row],[posicion_ciclo]]))</f>
        <v/>
      </c>
      <c r="J218" s="3">
        <f>_xlfn.XLOOKUP(tblAsignaciones[[#This Row],[tecnico]],tblTecnicos[nombre],tblTecnicos[coordinador],"")</f>
        <v/>
      </c>
      <c r="K2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8" s="3">
        <f>tblAsignaciones[[#This Row],[semana]]&amp;"|"&amp;tblAsignaciones[[#This Row],[dia]]&amp;"|"&amp;tblAsignaciones[[#This Row],[tecnico]]</f>
        <v/>
      </c>
      <c r="N218" s="3">
        <f>_xlfn.XLOOKUP(tblAsignaciones[[#This Row],[turno]],tblTurnos[turno],tblTurnos[hora_inicio],"")</f>
        <v/>
      </c>
      <c r="O218" s="3">
        <f>_xlfn.XLOOKUP(tblAsignaciones[[#This Row],[turno]],tblTurnos[turno],tblTurnos[hora_fin],"")</f>
        <v/>
      </c>
    </row>
    <row r="219">
      <c r="A219" s="3" t="inlineStr">
        <is>
          <t>2026-S30</t>
        </is>
      </c>
      <c r="B219" s="3" t="inlineStr">
        <is>
          <t>sábado</t>
        </is>
      </c>
      <c r="C219" s="3" t="inlineStr">
        <is>
          <t>Técnico 15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3">
        <f>COUNTIFS(tblTecnicos[rotativo],"SI",tblTecnicos[especialidad],tblAsignaciones[[#This Row],[especialidad]],tblTecnicos[area],tblAsignaciones[[#This Row],[area]])</f>
        <v/>
      </c>
      <c r="G2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6" t="n"/>
      <c r="I219" s="3">
        <f>IF(tblAsignaciones[[#This Row],[turno_manual]]&lt;&gt;"",tblAsignaciones[[#This Row],[turno_manual]],IF(LEFT(tblAsignaciones[[#This Row],[posicion_ciclo]],1)="B","B",tblAsignaciones[[#This Row],[posicion_ciclo]]))</f>
        <v/>
      </c>
      <c r="J219" s="3">
        <f>_xlfn.XLOOKUP(tblAsignaciones[[#This Row],[tecnico]],tblTecnicos[nombre],tblTecnicos[coordinador],"")</f>
        <v/>
      </c>
      <c r="K2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19" s="3">
        <f>tblAsignaciones[[#This Row],[semana]]&amp;"|"&amp;tblAsignaciones[[#This Row],[dia]]&amp;"|"&amp;tblAsignaciones[[#This Row],[tecnico]]</f>
        <v/>
      </c>
      <c r="N219" s="3">
        <f>_xlfn.XLOOKUP(tblAsignaciones[[#This Row],[turno]],tblTurnos[turno],tblTurnos[hora_inicio],"")</f>
        <v/>
      </c>
      <c r="O219" s="3">
        <f>_xlfn.XLOOKUP(tblAsignaciones[[#This Row],[turno]],tblTurnos[turno],tblTurnos[hora_fin],"")</f>
        <v/>
      </c>
    </row>
    <row r="220">
      <c r="A220" s="3" t="inlineStr">
        <is>
          <t>2026-S30</t>
        </is>
      </c>
      <c r="B220" s="3" t="inlineStr">
        <is>
          <t>domingo</t>
        </is>
      </c>
      <c r="C220" s="3" t="inlineStr">
        <is>
          <t>Técnico 15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3">
        <f>COUNTIFS(tblTecnicos[rotativo],"SI",tblTecnicos[especialidad],tblAsignaciones[[#This Row],[especialidad]],tblTecnicos[area],tblAsignaciones[[#This Row],[area]])</f>
        <v/>
      </c>
      <c r="G2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6" t="n"/>
      <c r="I220" s="3">
        <f>IF(tblAsignaciones[[#This Row],[turno_manual]]&lt;&gt;"",tblAsignaciones[[#This Row],[turno_manual]],IF(LEFT(tblAsignaciones[[#This Row],[posicion_ciclo]],1)="B","B",tblAsignaciones[[#This Row],[posicion_ciclo]]))</f>
        <v/>
      </c>
      <c r="J220" s="3">
        <f>_xlfn.XLOOKUP(tblAsignaciones[[#This Row],[tecnico]],tblTecnicos[nombre],tblTecnicos[coordinador],"")</f>
        <v/>
      </c>
      <c r="K2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0" s="3">
        <f>tblAsignaciones[[#This Row],[semana]]&amp;"|"&amp;tblAsignaciones[[#This Row],[dia]]&amp;"|"&amp;tblAsignaciones[[#This Row],[tecnico]]</f>
        <v/>
      </c>
      <c r="N220" s="3">
        <f>_xlfn.XLOOKUP(tblAsignaciones[[#This Row],[turno]],tblTurnos[turno],tblTurnos[hora_inicio],"")</f>
        <v/>
      </c>
      <c r="O220" s="3">
        <f>_xlfn.XLOOKUP(tblAsignaciones[[#This Row],[turno]],tblTurnos[turno],tblTurnos[hora_fin],"")</f>
        <v/>
      </c>
    </row>
    <row r="221">
      <c r="A221" s="3" t="inlineStr">
        <is>
          <t>2026-S30</t>
        </is>
      </c>
      <c r="B221" s="3" t="inlineStr">
        <is>
          <t>lunes</t>
        </is>
      </c>
      <c r="C221" s="3" t="inlineStr">
        <is>
          <t>Técnico 16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3">
        <f>COUNTIFS(tblTecnicos[rotativo],"SI",tblTecnicos[especialidad],tblAsignaciones[[#This Row],[especialidad]],tblTecnicos[area],tblAsignaciones[[#This Row],[area]])</f>
        <v/>
      </c>
      <c r="G2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6" t="n"/>
      <c r="I221" s="3">
        <f>IF(tblAsignaciones[[#This Row],[turno_manual]]&lt;&gt;"",tblAsignaciones[[#This Row],[turno_manual]],IF(LEFT(tblAsignaciones[[#This Row],[posicion_ciclo]],1)="B","B",tblAsignaciones[[#This Row],[posicion_ciclo]]))</f>
        <v/>
      </c>
      <c r="J221" s="3">
        <f>_xlfn.XLOOKUP(tblAsignaciones[[#This Row],[tecnico]],tblTecnicos[nombre],tblTecnicos[coordinador],"")</f>
        <v/>
      </c>
      <c r="K2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1" s="3">
        <f>tblAsignaciones[[#This Row],[semana]]&amp;"|"&amp;tblAsignaciones[[#This Row],[dia]]&amp;"|"&amp;tblAsignaciones[[#This Row],[tecnico]]</f>
        <v/>
      </c>
      <c r="N221" s="3">
        <f>_xlfn.XLOOKUP(tblAsignaciones[[#This Row],[turno]],tblTurnos[turno],tblTurnos[hora_inicio],"")</f>
        <v/>
      </c>
      <c r="O221" s="3">
        <f>_xlfn.XLOOKUP(tblAsignaciones[[#This Row],[turno]],tblTurnos[turno],tblTurnos[hora_fin],"")</f>
        <v/>
      </c>
    </row>
    <row r="222">
      <c r="A222" s="3" t="inlineStr">
        <is>
          <t>2026-S30</t>
        </is>
      </c>
      <c r="B222" s="3" t="inlineStr">
        <is>
          <t>martes</t>
        </is>
      </c>
      <c r="C222" s="3" t="inlineStr">
        <is>
          <t>Técnico 16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3">
        <f>COUNTIFS(tblTecnicos[rotativo],"SI",tblTecnicos[especialidad],tblAsignaciones[[#This Row],[especialidad]],tblTecnicos[area],tblAsignaciones[[#This Row],[area]])</f>
        <v/>
      </c>
      <c r="G2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6" t="n"/>
      <c r="I222" s="3">
        <f>IF(tblAsignaciones[[#This Row],[turno_manual]]&lt;&gt;"",tblAsignaciones[[#This Row],[turno_manual]],IF(LEFT(tblAsignaciones[[#This Row],[posicion_ciclo]],1)="B","B",tblAsignaciones[[#This Row],[posicion_ciclo]]))</f>
        <v/>
      </c>
      <c r="J222" s="3">
        <f>_xlfn.XLOOKUP(tblAsignaciones[[#This Row],[tecnico]],tblTecnicos[nombre],tblTecnicos[coordinador],"")</f>
        <v/>
      </c>
      <c r="K2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2" s="3">
        <f>tblAsignaciones[[#This Row],[semana]]&amp;"|"&amp;tblAsignaciones[[#This Row],[dia]]&amp;"|"&amp;tblAsignaciones[[#This Row],[tecnico]]</f>
        <v/>
      </c>
      <c r="N222" s="3">
        <f>_xlfn.XLOOKUP(tblAsignaciones[[#This Row],[turno]],tblTurnos[turno],tblTurnos[hora_inicio],"")</f>
        <v/>
      </c>
      <c r="O222" s="3">
        <f>_xlfn.XLOOKUP(tblAsignaciones[[#This Row],[turno]],tblTurnos[turno],tblTurnos[hora_fin],"")</f>
        <v/>
      </c>
    </row>
    <row r="223">
      <c r="A223" s="3" t="inlineStr">
        <is>
          <t>2026-S30</t>
        </is>
      </c>
      <c r="B223" s="3" t="inlineStr">
        <is>
          <t>miércoles</t>
        </is>
      </c>
      <c r="C223" s="3" t="inlineStr">
        <is>
          <t>Técnico 16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3">
        <f>COUNTIFS(tblTecnicos[rotativo],"SI",tblTecnicos[especialidad],tblAsignaciones[[#This Row],[especialidad]],tblTecnicos[area],tblAsignaciones[[#This Row],[area]])</f>
        <v/>
      </c>
      <c r="G2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6" t="n"/>
      <c r="I223" s="3">
        <f>IF(tblAsignaciones[[#This Row],[turno_manual]]&lt;&gt;"",tblAsignaciones[[#This Row],[turno_manual]],IF(LEFT(tblAsignaciones[[#This Row],[posicion_ciclo]],1)="B","B",tblAsignaciones[[#This Row],[posicion_ciclo]]))</f>
        <v/>
      </c>
      <c r="J223" s="3">
        <f>_xlfn.XLOOKUP(tblAsignaciones[[#This Row],[tecnico]],tblTecnicos[nombre],tblTecnicos[coordinador],"")</f>
        <v/>
      </c>
      <c r="K2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3" s="3">
        <f>tblAsignaciones[[#This Row],[semana]]&amp;"|"&amp;tblAsignaciones[[#This Row],[dia]]&amp;"|"&amp;tblAsignaciones[[#This Row],[tecnico]]</f>
        <v/>
      </c>
      <c r="N223" s="3">
        <f>_xlfn.XLOOKUP(tblAsignaciones[[#This Row],[turno]],tblTurnos[turno],tblTurnos[hora_inicio],"")</f>
        <v/>
      </c>
      <c r="O223" s="3">
        <f>_xlfn.XLOOKUP(tblAsignaciones[[#This Row],[turno]],tblTurnos[turno],tblTurnos[hora_fin],"")</f>
        <v/>
      </c>
    </row>
    <row r="224">
      <c r="A224" s="3" t="inlineStr">
        <is>
          <t>2026-S30</t>
        </is>
      </c>
      <c r="B224" s="3" t="inlineStr">
        <is>
          <t>jueves</t>
        </is>
      </c>
      <c r="C224" s="3" t="inlineStr">
        <is>
          <t>Técnico 16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3">
        <f>COUNTIFS(tblTecnicos[rotativo],"SI",tblTecnicos[especialidad],tblAsignaciones[[#This Row],[especialidad]],tblTecnicos[area],tblAsignaciones[[#This Row],[area]])</f>
        <v/>
      </c>
      <c r="G2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6" t="n"/>
      <c r="I224" s="3">
        <f>IF(tblAsignaciones[[#This Row],[turno_manual]]&lt;&gt;"",tblAsignaciones[[#This Row],[turno_manual]],IF(LEFT(tblAsignaciones[[#This Row],[posicion_ciclo]],1)="B","B",tblAsignaciones[[#This Row],[posicion_ciclo]]))</f>
        <v/>
      </c>
      <c r="J224" s="3">
        <f>_xlfn.XLOOKUP(tblAsignaciones[[#This Row],[tecnico]],tblTecnicos[nombre],tblTecnicos[coordinador],"")</f>
        <v/>
      </c>
      <c r="K2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4" s="3">
        <f>tblAsignaciones[[#This Row],[semana]]&amp;"|"&amp;tblAsignaciones[[#This Row],[dia]]&amp;"|"&amp;tblAsignaciones[[#This Row],[tecnico]]</f>
        <v/>
      </c>
      <c r="N224" s="3">
        <f>_xlfn.XLOOKUP(tblAsignaciones[[#This Row],[turno]],tblTurnos[turno],tblTurnos[hora_inicio],"")</f>
        <v/>
      </c>
      <c r="O224" s="3">
        <f>_xlfn.XLOOKUP(tblAsignaciones[[#This Row],[turno]],tblTurnos[turno],tblTurnos[hora_fin],"")</f>
        <v/>
      </c>
    </row>
    <row r="225">
      <c r="A225" s="3" t="inlineStr">
        <is>
          <t>2026-S30</t>
        </is>
      </c>
      <c r="B225" s="3" t="inlineStr">
        <is>
          <t>viernes</t>
        </is>
      </c>
      <c r="C225" s="3" t="inlineStr">
        <is>
          <t>Técnico 16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3">
        <f>COUNTIFS(tblTecnicos[rotativo],"SI",tblTecnicos[especialidad],tblAsignaciones[[#This Row],[especialidad]],tblTecnicos[area],tblAsignaciones[[#This Row],[area]])</f>
        <v/>
      </c>
      <c r="G2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6" t="n"/>
      <c r="I225" s="3">
        <f>IF(tblAsignaciones[[#This Row],[turno_manual]]&lt;&gt;"",tblAsignaciones[[#This Row],[turno_manual]],IF(LEFT(tblAsignaciones[[#This Row],[posicion_ciclo]],1)="B","B",tblAsignaciones[[#This Row],[posicion_ciclo]]))</f>
        <v/>
      </c>
      <c r="J225" s="3">
        <f>_xlfn.XLOOKUP(tblAsignaciones[[#This Row],[tecnico]],tblTecnicos[nombre],tblTecnicos[coordinador],"")</f>
        <v/>
      </c>
      <c r="K2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5" s="3">
        <f>tblAsignaciones[[#This Row],[semana]]&amp;"|"&amp;tblAsignaciones[[#This Row],[dia]]&amp;"|"&amp;tblAsignaciones[[#This Row],[tecnico]]</f>
        <v/>
      </c>
      <c r="N225" s="3">
        <f>_xlfn.XLOOKUP(tblAsignaciones[[#This Row],[turno]],tblTurnos[turno],tblTurnos[hora_inicio],"")</f>
        <v/>
      </c>
      <c r="O225" s="3">
        <f>_xlfn.XLOOKUP(tblAsignaciones[[#This Row],[turno]],tblTurnos[turno],tblTurnos[hora_fin],"")</f>
        <v/>
      </c>
    </row>
    <row r="226">
      <c r="A226" s="3" t="inlineStr">
        <is>
          <t>2026-S30</t>
        </is>
      </c>
      <c r="B226" s="3" t="inlineStr">
        <is>
          <t>sábado</t>
        </is>
      </c>
      <c r="C226" s="3" t="inlineStr">
        <is>
          <t>Técnico 16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3">
        <f>COUNTIFS(tblTecnicos[rotativo],"SI",tblTecnicos[especialidad],tblAsignaciones[[#This Row],[especialidad]],tblTecnicos[area],tblAsignaciones[[#This Row],[area]])</f>
        <v/>
      </c>
      <c r="G2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6" t="n"/>
      <c r="I226" s="3">
        <f>IF(tblAsignaciones[[#This Row],[turno_manual]]&lt;&gt;"",tblAsignaciones[[#This Row],[turno_manual]],IF(LEFT(tblAsignaciones[[#This Row],[posicion_ciclo]],1)="B","B",tblAsignaciones[[#This Row],[posicion_ciclo]]))</f>
        <v/>
      </c>
      <c r="J226" s="3">
        <f>_xlfn.XLOOKUP(tblAsignaciones[[#This Row],[tecnico]],tblTecnicos[nombre],tblTecnicos[coordinador],"")</f>
        <v/>
      </c>
      <c r="K2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6" s="3">
        <f>tblAsignaciones[[#This Row],[semana]]&amp;"|"&amp;tblAsignaciones[[#This Row],[dia]]&amp;"|"&amp;tblAsignaciones[[#This Row],[tecnico]]</f>
        <v/>
      </c>
      <c r="N226" s="3">
        <f>_xlfn.XLOOKUP(tblAsignaciones[[#This Row],[turno]],tblTurnos[turno],tblTurnos[hora_inicio],"")</f>
        <v/>
      </c>
      <c r="O226" s="3">
        <f>_xlfn.XLOOKUP(tblAsignaciones[[#This Row],[turno]],tblTurnos[turno],tblTurnos[hora_fin],"")</f>
        <v/>
      </c>
    </row>
    <row r="227">
      <c r="A227" s="3" t="inlineStr">
        <is>
          <t>2026-S30</t>
        </is>
      </c>
      <c r="B227" s="3" t="inlineStr">
        <is>
          <t>domingo</t>
        </is>
      </c>
      <c r="C227" s="3" t="inlineStr">
        <is>
          <t>Técnico 16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3">
        <f>COUNTIFS(tblTecnicos[rotativo],"SI",tblTecnicos[especialidad],tblAsignaciones[[#This Row],[especialidad]],tblTecnicos[area],tblAsignaciones[[#This Row],[area]])</f>
        <v/>
      </c>
      <c r="G2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6" t="n"/>
      <c r="I227" s="3">
        <f>IF(tblAsignaciones[[#This Row],[turno_manual]]&lt;&gt;"",tblAsignaciones[[#This Row],[turno_manual]],IF(LEFT(tblAsignaciones[[#This Row],[posicion_ciclo]],1)="B","B",tblAsignaciones[[#This Row],[posicion_ciclo]]))</f>
        <v/>
      </c>
      <c r="J227" s="3">
        <f>_xlfn.XLOOKUP(tblAsignaciones[[#This Row],[tecnico]],tblTecnicos[nombre],tblTecnicos[coordinador],"")</f>
        <v/>
      </c>
      <c r="K2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7" s="3">
        <f>tblAsignaciones[[#This Row],[semana]]&amp;"|"&amp;tblAsignaciones[[#This Row],[dia]]&amp;"|"&amp;tblAsignaciones[[#This Row],[tecnico]]</f>
        <v/>
      </c>
      <c r="N227" s="3">
        <f>_xlfn.XLOOKUP(tblAsignaciones[[#This Row],[turno]],tblTurnos[turno],tblTurnos[hora_inicio],"")</f>
        <v/>
      </c>
      <c r="O227" s="3">
        <f>_xlfn.XLOOKUP(tblAsignaciones[[#This Row],[turno]],tblTurnos[turno],tblTurnos[hora_fin],"")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01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3">
        <f>COUNTIFS(tblTecnicos[rotativo],"SI",tblTecnicos[especialidad],tblAsignaciones[[#This Row],[especialidad]],tblTecnicos[area],tblAsignaciones[[#This Row],[area]])</f>
        <v/>
      </c>
      <c r="G2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6" t="n"/>
      <c r="I228" s="3">
        <f>IF(tblAsignaciones[[#This Row],[turno_manual]]&lt;&gt;"",tblAsignaciones[[#This Row],[turno_manual]],IF(LEFT(tblAsignaciones[[#This Row],[posicion_ciclo]],1)="B","B",tblAsignaciones[[#This Row],[posicion_ciclo]]))</f>
        <v/>
      </c>
      <c r="J228" s="3">
        <f>_xlfn.XLOOKUP(tblAsignaciones[[#This Row],[tecnico]],tblTecnicos[nombre],tblTecnicos[coordinador],"")</f>
        <v/>
      </c>
      <c r="K2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8" s="3">
        <f>tblAsignaciones[[#This Row],[semana]]&amp;"|"&amp;tblAsignaciones[[#This Row],[dia]]&amp;"|"&amp;tblAsignaciones[[#This Row],[tecnico]]</f>
        <v/>
      </c>
      <c r="N228" s="3">
        <f>_xlfn.XLOOKUP(tblAsignaciones[[#This Row],[turno]],tblTurnos[turno],tblTurnos[hora_inicio],"")</f>
        <v/>
      </c>
      <c r="O228" s="3">
        <f>_xlfn.XLOOKUP(tblAsignaciones[[#This Row],[turno]],tblTurnos[turno],tblTurnos[hora_fin],"")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01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3">
        <f>COUNTIFS(tblTecnicos[rotativo],"SI",tblTecnicos[especialidad],tblAsignaciones[[#This Row],[especialidad]],tblTecnicos[area],tblAsignaciones[[#This Row],[area]])</f>
        <v/>
      </c>
      <c r="G2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6" t="n"/>
      <c r="I229" s="3">
        <f>IF(tblAsignaciones[[#This Row],[turno_manual]]&lt;&gt;"",tblAsignaciones[[#This Row],[turno_manual]],IF(LEFT(tblAsignaciones[[#This Row],[posicion_ciclo]],1)="B","B",tblAsignaciones[[#This Row],[posicion_ciclo]]))</f>
        <v/>
      </c>
      <c r="J229" s="3">
        <f>_xlfn.XLOOKUP(tblAsignaciones[[#This Row],[tecnico]],tblTecnicos[nombre],tblTecnicos[coordinador],"")</f>
        <v/>
      </c>
      <c r="K2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29" s="3">
        <f>tblAsignaciones[[#This Row],[semana]]&amp;"|"&amp;tblAsignaciones[[#This Row],[dia]]&amp;"|"&amp;tblAsignaciones[[#This Row],[tecnico]]</f>
        <v/>
      </c>
      <c r="N229" s="3">
        <f>_xlfn.XLOOKUP(tblAsignaciones[[#This Row],[turno]],tblTurnos[turno],tblTurnos[hora_inicio],"")</f>
        <v/>
      </c>
      <c r="O229" s="3">
        <f>_xlfn.XLOOKUP(tblAsignaciones[[#This Row],[turno]],tblTurnos[turno],tblTurnos[hora_fin],"")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01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3">
        <f>COUNTIFS(tblTecnicos[rotativo],"SI",tblTecnicos[especialidad],tblAsignaciones[[#This Row],[especialidad]],tblTecnicos[area],tblAsignaciones[[#This Row],[area]])</f>
        <v/>
      </c>
      <c r="G2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6" t="n"/>
      <c r="I230" s="3">
        <f>IF(tblAsignaciones[[#This Row],[turno_manual]]&lt;&gt;"",tblAsignaciones[[#This Row],[turno_manual]],IF(LEFT(tblAsignaciones[[#This Row],[posicion_ciclo]],1)="B","B",tblAsignaciones[[#This Row],[posicion_ciclo]]))</f>
        <v/>
      </c>
      <c r="J230" s="3">
        <f>_xlfn.XLOOKUP(tblAsignaciones[[#This Row],[tecnico]],tblTecnicos[nombre],tblTecnicos[coordinador],"")</f>
        <v/>
      </c>
      <c r="K2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0" s="3">
        <f>tblAsignaciones[[#This Row],[semana]]&amp;"|"&amp;tblAsignaciones[[#This Row],[dia]]&amp;"|"&amp;tblAsignaciones[[#This Row],[tecnico]]</f>
        <v/>
      </c>
      <c r="N230" s="3">
        <f>_xlfn.XLOOKUP(tblAsignaciones[[#This Row],[turno]],tblTurnos[turno],tblTurnos[hora_inicio],"")</f>
        <v/>
      </c>
      <c r="O230" s="3">
        <f>_xlfn.XLOOKUP(tblAsignaciones[[#This Row],[turno]],tblTurnos[turno],tblTurnos[hora_fin],"")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01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3">
        <f>COUNTIFS(tblTecnicos[rotativo],"SI",tblTecnicos[especialidad],tblAsignaciones[[#This Row],[especialidad]],tblTecnicos[area],tblAsignaciones[[#This Row],[area]])</f>
        <v/>
      </c>
      <c r="G2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6" t="n"/>
      <c r="I231" s="3">
        <f>IF(tblAsignaciones[[#This Row],[turno_manual]]&lt;&gt;"",tblAsignaciones[[#This Row],[turno_manual]],IF(LEFT(tblAsignaciones[[#This Row],[posicion_ciclo]],1)="B","B",tblAsignaciones[[#This Row],[posicion_ciclo]]))</f>
        <v/>
      </c>
      <c r="J231" s="3">
        <f>_xlfn.XLOOKUP(tblAsignaciones[[#This Row],[tecnico]],tblTecnicos[nombre],tblTecnicos[coordinador],"")</f>
        <v/>
      </c>
      <c r="K2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1" s="3">
        <f>tblAsignaciones[[#This Row],[semana]]&amp;"|"&amp;tblAsignaciones[[#This Row],[dia]]&amp;"|"&amp;tblAsignaciones[[#This Row],[tecnico]]</f>
        <v/>
      </c>
      <c r="N231" s="3">
        <f>_xlfn.XLOOKUP(tblAsignaciones[[#This Row],[turno]],tblTurnos[turno],tblTurnos[hora_inicio],"")</f>
        <v/>
      </c>
      <c r="O231" s="3">
        <f>_xlfn.XLOOKUP(tblAsignaciones[[#This Row],[turno]],tblTurnos[turno],tblTurnos[hora_fin],"")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01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3">
        <f>COUNTIFS(tblTecnicos[rotativo],"SI",tblTecnicos[especialidad],tblAsignaciones[[#This Row],[especialidad]],tblTecnicos[area],tblAsignaciones[[#This Row],[area]])</f>
        <v/>
      </c>
      <c r="G2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6" t="n"/>
      <c r="I232" s="3">
        <f>IF(tblAsignaciones[[#This Row],[turno_manual]]&lt;&gt;"",tblAsignaciones[[#This Row],[turno_manual]],IF(LEFT(tblAsignaciones[[#This Row],[posicion_ciclo]],1)="B","B",tblAsignaciones[[#This Row],[posicion_ciclo]]))</f>
        <v/>
      </c>
      <c r="J232" s="3">
        <f>_xlfn.XLOOKUP(tblAsignaciones[[#This Row],[tecnico]],tblTecnicos[nombre],tblTecnicos[coordinador],"")</f>
        <v/>
      </c>
      <c r="K2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2" s="3">
        <f>tblAsignaciones[[#This Row],[semana]]&amp;"|"&amp;tblAsignaciones[[#This Row],[dia]]&amp;"|"&amp;tblAsignaciones[[#This Row],[tecnico]]</f>
        <v/>
      </c>
      <c r="N232" s="3">
        <f>_xlfn.XLOOKUP(tblAsignaciones[[#This Row],[turno]],tblTurnos[turno],tblTurnos[hora_inicio],"")</f>
        <v/>
      </c>
      <c r="O232" s="3">
        <f>_xlfn.XLOOKUP(tblAsignaciones[[#This Row],[turno]],tblTurnos[turno],tblTurnos[hora_fin],"")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01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3">
        <f>COUNTIFS(tblTecnicos[rotativo],"SI",tblTecnicos[especialidad],tblAsignaciones[[#This Row],[especialidad]],tblTecnicos[area],tblAsignaciones[[#This Row],[area]])</f>
        <v/>
      </c>
      <c r="G2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6" t="n"/>
      <c r="I233" s="3">
        <f>IF(tblAsignaciones[[#This Row],[turno_manual]]&lt;&gt;"",tblAsignaciones[[#This Row],[turno_manual]],IF(LEFT(tblAsignaciones[[#This Row],[posicion_ciclo]],1)="B","B",tblAsignaciones[[#This Row],[posicion_ciclo]]))</f>
        <v/>
      </c>
      <c r="J233" s="3">
        <f>_xlfn.XLOOKUP(tblAsignaciones[[#This Row],[tecnico]],tblTecnicos[nombre],tblTecnicos[coordinador],"")</f>
        <v/>
      </c>
      <c r="K2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3" s="3">
        <f>tblAsignaciones[[#This Row],[semana]]&amp;"|"&amp;tblAsignaciones[[#This Row],[dia]]&amp;"|"&amp;tblAsignaciones[[#This Row],[tecnico]]</f>
        <v/>
      </c>
      <c r="N233" s="3">
        <f>_xlfn.XLOOKUP(tblAsignaciones[[#This Row],[turno]],tblTurnos[turno],tblTurnos[hora_inicio],"")</f>
        <v/>
      </c>
      <c r="O233" s="3">
        <f>_xlfn.XLOOKUP(tblAsignaciones[[#This Row],[turno]],tblTurnos[turno],tblTurnos[hora_fin],"")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01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3">
        <f>COUNTIFS(tblTecnicos[rotativo],"SI",tblTecnicos[especialidad],tblAsignaciones[[#This Row],[especialidad]],tblTecnicos[area],tblAsignaciones[[#This Row],[area]])</f>
        <v/>
      </c>
      <c r="G2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6" t="n"/>
      <c r="I234" s="3">
        <f>IF(tblAsignaciones[[#This Row],[turno_manual]]&lt;&gt;"",tblAsignaciones[[#This Row],[turno_manual]],IF(LEFT(tblAsignaciones[[#This Row],[posicion_ciclo]],1)="B","B",tblAsignaciones[[#This Row],[posicion_ciclo]]))</f>
        <v/>
      </c>
      <c r="J234" s="3">
        <f>_xlfn.XLOOKUP(tblAsignaciones[[#This Row],[tecnico]],tblTecnicos[nombre],tblTecnicos[coordinador],"")</f>
        <v/>
      </c>
      <c r="K2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4" s="3">
        <f>tblAsignaciones[[#This Row],[semana]]&amp;"|"&amp;tblAsignaciones[[#This Row],[dia]]&amp;"|"&amp;tblAsignaciones[[#This Row],[tecnico]]</f>
        <v/>
      </c>
      <c r="N234" s="3">
        <f>_xlfn.XLOOKUP(tblAsignaciones[[#This Row],[turno]],tblTurnos[turno],tblTurnos[hora_inicio],"")</f>
        <v/>
      </c>
      <c r="O234" s="3">
        <f>_xlfn.XLOOKUP(tblAsignaciones[[#This Row],[turno]],tblTurnos[turno],tblTurnos[hora_fin],"")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02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3">
        <f>COUNTIFS(tblTecnicos[rotativo],"SI",tblTecnicos[especialidad],tblAsignaciones[[#This Row],[especialidad]],tblTecnicos[area],tblAsignaciones[[#This Row],[area]])</f>
        <v/>
      </c>
      <c r="G2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6" t="n"/>
      <c r="I235" s="3">
        <f>IF(tblAsignaciones[[#This Row],[turno_manual]]&lt;&gt;"",tblAsignaciones[[#This Row],[turno_manual]],IF(LEFT(tblAsignaciones[[#This Row],[posicion_ciclo]],1)="B","B",tblAsignaciones[[#This Row],[posicion_ciclo]]))</f>
        <v/>
      </c>
      <c r="J235" s="3">
        <f>_xlfn.XLOOKUP(tblAsignaciones[[#This Row],[tecnico]],tblTecnicos[nombre],tblTecnicos[coordinador],"")</f>
        <v/>
      </c>
      <c r="K2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5" s="3">
        <f>tblAsignaciones[[#This Row],[semana]]&amp;"|"&amp;tblAsignaciones[[#This Row],[dia]]&amp;"|"&amp;tblAsignaciones[[#This Row],[tecnico]]</f>
        <v/>
      </c>
      <c r="N235" s="3">
        <f>_xlfn.XLOOKUP(tblAsignaciones[[#This Row],[turno]],tblTurnos[turno],tblTurnos[hora_inicio],"")</f>
        <v/>
      </c>
      <c r="O235" s="3">
        <f>_xlfn.XLOOKUP(tblAsignaciones[[#This Row],[turno]],tblTurnos[turno],tblTurnos[hora_fin],"")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02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3">
        <f>COUNTIFS(tblTecnicos[rotativo],"SI",tblTecnicos[especialidad],tblAsignaciones[[#This Row],[especialidad]],tblTecnicos[area],tblAsignaciones[[#This Row],[area]])</f>
        <v/>
      </c>
      <c r="G2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6" t="n"/>
      <c r="I236" s="3">
        <f>IF(tblAsignaciones[[#This Row],[turno_manual]]&lt;&gt;"",tblAsignaciones[[#This Row],[turno_manual]],IF(LEFT(tblAsignaciones[[#This Row],[posicion_ciclo]],1)="B","B",tblAsignaciones[[#This Row],[posicion_ciclo]]))</f>
        <v/>
      </c>
      <c r="J236" s="3">
        <f>_xlfn.XLOOKUP(tblAsignaciones[[#This Row],[tecnico]],tblTecnicos[nombre],tblTecnicos[coordinador],"")</f>
        <v/>
      </c>
      <c r="K2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6" s="3">
        <f>tblAsignaciones[[#This Row],[semana]]&amp;"|"&amp;tblAsignaciones[[#This Row],[dia]]&amp;"|"&amp;tblAsignaciones[[#This Row],[tecnico]]</f>
        <v/>
      </c>
      <c r="N236" s="3">
        <f>_xlfn.XLOOKUP(tblAsignaciones[[#This Row],[turno]],tblTurnos[turno],tblTurnos[hora_inicio],"")</f>
        <v/>
      </c>
      <c r="O236" s="3">
        <f>_xlfn.XLOOKUP(tblAsignaciones[[#This Row],[turno]],tblTurnos[turno],tblTurnos[hora_fin],"")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02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3">
        <f>COUNTIFS(tblTecnicos[rotativo],"SI",tblTecnicos[especialidad],tblAsignaciones[[#This Row],[especialidad]],tblTecnicos[area],tblAsignaciones[[#This Row],[area]])</f>
        <v/>
      </c>
      <c r="G2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6" t="n"/>
      <c r="I237" s="3">
        <f>IF(tblAsignaciones[[#This Row],[turno_manual]]&lt;&gt;"",tblAsignaciones[[#This Row],[turno_manual]],IF(LEFT(tblAsignaciones[[#This Row],[posicion_ciclo]],1)="B","B",tblAsignaciones[[#This Row],[posicion_ciclo]]))</f>
        <v/>
      </c>
      <c r="J237" s="3">
        <f>_xlfn.XLOOKUP(tblAsignaciones[[#This Row],[tecnico]],tblTecnicos[nombre],tblTecnicos[coordinador],"")</f>
        <v/>
      </c>
      <c r="K2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7" s="3">
        <f>tblAsignaciones[[#This Row],[semana]]&amp;"|"&amp;tblAsignaciones[[#This Row],[dia]]&amp;"|"&amp;tblAsignaciones[[#This Row],[tecnico]]</f>
        <v/>
      </c>
      <c r="N237" s="3">
        <f>_xlfn.XLOOKUP(tblAsignaciones[[#This Row],[turno]],tblTurnos[turno],tblTurnos[hora_inicio],"")</f>
        <v/>
      </c>
      <c r="O237" s="3">
        <f>_xlfn.XLOOKUP(tblAsignaciones[[#This Row],[turno]],tblTurnos[turno],tblTurnos[hora_fin],"")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02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3">
        <f>COUNTIFS(tblTecnicos[rotativo],"SI",tblTecnicos[especialidad],tblAsignaciones[[#This Row],[especialidad]],tblTecnicos[area],tblAsignaciones[[#This Row],[area]])</f>
        <v/>
      </c>
      <c r="G2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6" t="n"/>
      <c r="I238" s="3">
        <f>IF(tblAsignaciones[[#This Row],[turno_manual]]&lt;&gt;"",tblAsignaciones[[#This Row],[turno_manual]],IF(LEFT(tblAsignaciones[[#This Row],[posicion_ciclo]],1)="B","B",tblAsignaciones[[#This Row],[posicion_ciclo]]))</f>
        <v/>
      </c>
      <c r="J238" s="3">
        <f>_xlfn.XLOOKUP(tblAsignaciones[[#This Row],[tecnico]],tblTecnicos[nombre],tblTecnicos[coordinador],"")</f>
        <v/>
      </c>
      <c r="K2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8" s="3">
        <f>tblAsignaciones[[#This Row],[semana]]&amp;"|"&amp;tblAsignaciones[[#This Row],[dia]]&amp;"|"&amp;tblAsignaciones[[#This Row],[tecnico]]</f>
        <v/>
      </c>
      <c r="N238" s="3">
        <f>_xlfn.XLOOKUP(tblAsignaciones[[#This Row],[turno]],tblTurnos[turno],tblTurnos[hora_inicio],"")</f>
        <v/>
      </c>
      <c r="O238" s="3">
        <f>_xlfn.XLOOKUP(tblAsignaciones[[#This Row],[turno]],tblTurnos[turno],tblTurnos[hora_fin],"")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02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3">
        <f>COUNTIFS(tblTecnicos[rotativo],"SI",tblTecnicos[especialidad],tblAsignaciones[[#This Row],[especialidad]],tblTecnicos[area],tblAsignaciones[[#This Row],[area]])</f>
        <v/>
      </c>
      <c r="G2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6" t="n"/>
      <c r="I239" s="3">
        <f>IF(tblAsignaciones[[#This Row],[turno_manual]]&lt;&gt;"",tblAsignaciones[[#This Row],[turno_manual]],IF(LEFT(tblAsignaciones[[#This Row],[posicion_ciclo]],1)="B","B",tblAsignaciones[[#This Row],[posicion_ciclo]]))</f>
        <v/>
      </c>
      <c r="J239" s="3">
        <f>_xlfn.XLOOKUP(tblAsignaciones[[#This Row],[tecnico]],tblTecnicos[nombre],tblTecnicos[coordinador],"")</f>
        <v/>
      </c>
      <c r="K2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39" s="3">
        <f>tblAsignaciones[[#This Row],[semana]]&amp;"|"&amp;tblAsignaciones[[#This Row],[dia]]&amp;"|"&amp;tblAsignaciones[[#This Row],[tecnico]]</f>
        <v/>
      </c>
      <c r="N239" s="3">
        <f>_xlfn.XLOOKUP(tblAsignaciones[[#This Row],[turno]],tblTurnos[turno],tblTurnos[hora_inicio],"")</f>
        <v/>
      </c>
      <c r="O239" s="3">
        <f>_xlfn.XLOOKUP(tblAsignaciones[[#This Row],[turno]],tblTurnos[turno],tblTurnos[hora_fin],"")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02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3">
        <f>COUNTIFS(tblTecnicos[rotativo],"SI",tblTecnicos[especialidad],tblAsignaciones[[#This Row],[especialidad]],tblTecnicos[area],tblAsignaciones[[#This Row],[area]])</f>
        <v/>
      </c>
      <c r="G2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6" t="n"/>
      <c r="I240" s="3">
        <f>IF(tblAsignaciones[[#This Row],[turno_manual]]&lt;&gt;"",tblAsignaciones[[#This Row],[turno_manual]],IF(LEFT(tblAsignaciones[[#This Row],[posicion_ciclo]],1)="B","B",tblAsignaciones[[#This Row],[posicion_ciclo]]))</f>
        <v/>
      </c>
      <c r="J240" s="3">
        <f>_xlfn.XLOOKUP(tblAsignaciones[[#This Row],[tecnico]],tblTecnicos[nombre],tblTecnicos[coordinador],"")</f>
        <v/>
      </c>
      <c r="K2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0" s="3">
        <f>tblAsignaciones[[#This Row],[semana]]&amp;"|"&amp;tblAsignaciones[[#This Row],[dia]]&amp;"|"&amp;tblAsignaciones[[#This Row],[tecnico]]</f>
        <v/>
      </c>
      <c r="N240" s="3">
        <f>_xlfn.XLOOKUP(tblAsignaciones[[#This Row],[turno]],tblTurnos[turno],tblTurnos[hora_inicio],"")</f>
        <v/>
      </c>
      <c r="O240" s="3">
        <f>_xlfn.XLOOKUP(tblAsignaciones[[#This Row],[turno]],tblTurnos[turno],tblTurnos[hora_fin],"")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02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3">
        <f>COUNTIFS(tblTecnicos[rotativo],"SI",tblTecnicos[especialidad],tblAsignaciones[[#This Row],[especialidad]],tblTecnicos[area],tblAsignaciones[[#This Row],[area]])</f>
        <v/>
      </c>
      <c r="G2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6" t="n"/>
      <c r="I241" s="3">
        <f>IF(tblAsignaciones[[#This Row],[turno_manual]]&lt;&gt;"",tblAsignaciones[[#This Row],[turno_manual]],IF(LEFT(tblAsignaciones[[#This Row],[posicion_ciclo]],1)="B","B",tblAsignaciones[[#This Row],[posicion_ciclo]]))</f>
        <v/>
      </c>
      <c r="J241" s="3">
        <f>_xlfn.XLOOKUP(tblAsignaciones[[#This Row],[tecnico]],tblTecnicos[nombre],tblTecnicos[coordinador],"")</f>
        <v/>
      </c>
      <c r="K2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1" s="3">
        <f>tblAsignaciones[[#This Row],[semana]]&amp;"|"&amp;tblAsignaciones[[#This Row],[dia]]&amp;"|"&amp;tblAsignaciones[[#This Row],[tecnico]]</f>
        <v/>
      </c>
      <c r="N241" s="3">
        <f>_xlfn.XLOOKUP(tblAsignaciones[[#This Row],[turno]],tblTurnos[turno],tblTurnos[hora_inicio],"")</f>
        <v/>
      </c>
      <c r="O241" s="3">
        <f>_xlfn.XLOOKUP(tblAsignaciones[[#This Row],[turno]],tblTurnos[turno],tblTurnos[hora_fin],"")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03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3">
        <f>COUNTIFS(tblTecnicos[rotativo],"SI",tblTecnicos[especialidad],tblAsignaciones[[#This Row],[especialidad]],tblTecnicos[area],tblAsignaciones[[#This Row],[area]])</f>
        <v/>
      </c>
      <c r="G2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6" t="n"/>
      <c r="I242" s="3">
        <f>IF(tblAsignaciones[[#This Row],[turno_manual]]&lt;&gt;"",tblAsignaciones[[#This Row],[turno_manual]],IF(LEFT(tblAsignaciones[[#This Row],[posicion_ciclo]],1)="B","B",tblAsignaciones[[#This Row],[posicion_ciclo]]))</f>
        <v/>
      </c>
      <c r="J242" s="3">
        <f>_xlfn.XLOOKUP(tblAsignaciones[[#This Row],[tecnico]],tblTecnicos[nombre],tblTecnicos[coordinador],"")</f>
        <v/>
      </c>
      <c r="K2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2" s="3">
        <f>tblAsignaciones[[#This Row],[semana]]&amp;"|"&amp;tblAsignaciones[[#This Row],[dia]]&amp;"|"&amp;tblAsignaciones[[#This Row],[tecnico]]</f>
        <v/>
      </c>
      <c r="N242" s="3">
        <f>_xlfn.XLOOKUP(tblAsignaciones[[#This Row],[turno]],tblTurnos[turno],tblTurnos[hora_inicio],"")</f>
        <v/>
      </c>
      <c r="O242" s="3">
        <f>_xlfn.XLOOKUP(tblAsignaciones[[#This Row],[turno]],tblTurnos[turno],tblTurnos[hora_fin],"")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03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3">
        <f>COUNTIFS(tblTecnicos[rotativo],"SI",tblTecnicos[especialidad],tblAsignaciones[[#This Row],[especialidad]],tblTecnicos[area],tblAsignaciones[[#This Row],[area]])</f>
        <v/>
      </c>
      <c r="G2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6" t="n"/>
      <c r="I243" s="3">
        <f>IF(tblAsignaciones[[#This Row],[turno_manual]]&lt;&gt;"",tblAsignaciones[[#This Row],[turno_manual]],IF(LEFT(tblAsignaciones[[#This Row],[posicion_ciclo]],1)="B","B",tblAsignaciones[[#This Row],[posicion_ciclo]]))</f>
        <v/>
      </c>
      <c r="J243" s="3">
        <f>_xlfn.XLOOKUP(tblAsignaciones[[#This Row],[tecnico]],tblTecnicos[nombre],tblTecnicos[coordinador],"")</f>
        <v/>
      </c>
      <c r="K2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3" s="3">
        <f>tblAsignaciones[[#This Row],[semana]]&amp;"|"&amp;tblAsignaciones[[#This Row],[dia]]&amp;"|"&amp;tblAsignaciones[[#This Row],[tecnico]]</f>
        <v/>
      </c>
      <c r="N243" s="3">
        <f>_xlfn.XLOOKUP(tblAsignaciones[[#This Row],[turno]],tblTurnos[turno],tblTurnos[hora_inicio],"")</f>
        <v/>
      </c>
      <c r="O243" s="3">
        <f>_xlfn.XLOOKUP(tblAsignaciones[[#This Row],[turno]],tblTurnos[turno],tblTurnos[hora_fin],"")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03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3">
        <f>COUNTIFS(tblTecnicos[rotativo],"SI",tblTecnicos[especialidad],tblAsignaciones[[#This Row],[especialidad]],tblTecnicos[area],tblAsignaciones[[#This Row],[area]])</f>
        <v/>
      </c>
      <c r="G2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6" t="n"/>
      <c r="I244" s="3">
        <f>IF(tblAsignaciones[[#This Row],[turno_manual]]&lt;&gt;"",tblAsignaciones[[#This Row],[turno_manual]],IF(LEFT(tblAsignaciones[[#This Row],[posicion_ciclo]],1)="B","B",tblAsignaciones[[#This Row],[posicion_ciclo]]))</f>
        <v/>
      </c>
      <c r="J244" s="3">
        <f>_xlfn.XLOOKUP(tblAsignaciones[[#This Row],[tecnico]],tblTecnicos[nombre],tblTecnicos[coordinador],"")</f>
        <v/>
      </c>
      <c r="K2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4" s="3">
        <f>tblAsignaciones[[#This Row],[semana]]&amp;"|"&amp;tblAsignaciones[[#This Row],[dia]]&amp;"|"&amp;tblAsignaciones[[#This Row],[tecnico]]</f>
        <v/>
      </c>
      <c r="N244" s="3">
        <f>_xlfn.XLOOKUP(tblAsignaciones[[#This Row],[turno]],tblTurnos[turno],tblTurnos[hora_inicio],"")</f>
        <v/>
      </c>
      <c r="O244" s="3">
        <f>_xlfn.XLOOKUP(tblAsignaciones[[#This Row],[turno]],tblTurnos[turno],tblTurnos[hora_fin],"")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03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3">
        <f>COUNTIFS(tblTecnicos[rotativo],"SI",tblTecnicos[especialidad],tblAsignaciones[[#This Row],[especialidad]],tblTecnicos[area],tblAsignaciones[[#This Row],[area]])</f>
        <v/>
      </c>
      <c r="G2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6" t="n"/>
      <c r="I245" s="3">
        <f>IF(tblAsignaciones[[#This Row],[turno_manual]]&lt;&gt;"",tblAsignaciones[[#This Row],[turno_manual]],IF(LEFT(tblAsignaciones[[#This Row],[posicion_ciclo]],1)="B","B",tblAsignaciones[[#This Row],[posicion_ciclo]]))</f>
        <v/>
      </c>
      <c r="J245" s="3">
        <f>_xlfn.XLOOKUP(tblAsignaciones[[#This Row],[tecnico]],tblTecnicos[nombre],tblTecnicos[coordinador],"")</f>
        <v/>
      </c>
      <c r="K2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5" s="3">
        <f>tblAsignaciones[[#This Row],[semana]]&amp;"|"&amp;tblAsignaciones[[#This Row],[dia]]&amp;"|"&amp;tblAsignaciones[[#This Row],[tecnico]]</f>
        <v/>
      </c>
      <c r="N245" s="3">
        <f>_xlfn.XLOOKUP(tblAsignaciones[[#This Row],[turno]],tblTurnos[turno],tblTurnos[hora_inicio],"")</f>
        <v/>
      </c>
      <c r="O245" s="3">
        <f>_xlfn.XLOOKUP(tblAsignaciones[[#This Row],[turno]],tblTurnos[turno],tblTurnos[hora_fin],"")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03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3">
        <f>COUNTIFS(tblTecnicos[rotativo],"SI",tblTecnicos[especialidad],tblAsignaciones[[#This Row],[especialidad]],tblTecnicos[area],tblAsignaciones[[#This Row],[area]])</f>
        <v/>
      </c>
      <c r="G2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6" t="n"/>
      <c r="I246" s="3">
        <f>IF(tblAsignaciones[[#This Row],[turno_manual]]&lt;&gt;"",tblAsignaciones[[#This Row],[turno_manual]],IF(LEFT(tblAsignaciones[[#This Row],[posicion_ciclo]],1)="B","B",tblAsignaciones[[#This Row],[posicion_ciclo]]))</f>
        <v/>
      </c>
      <c r="J246" s="3">
        <f>_xlfn.XLOOKUP(tblAsignaciones[[#This Row],[tecnico]],tblTecnicos[nombre],tblTecnicos[coordinador],"")</f>
        <v/>
      </c>
      <c r="K2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6" s="3">
        <f>tblAsignaciones[[#This Row],[semana]]&amp;"|"&amp;tblAsignaciones[[#This Row],[dia]]&amp;"|"&amp;tblAsignaciones[[#This Row],[tecnico]]</f>
        <v/>
      </c>
      <c r="N246" s="3">
        <f>_xlfn.XLOOKUP(tblAsignaciones[[#This Row],[turno]],tblTurnos[turno],tblTurnos[hora_inicio],"")</f>
        <v/>
      </c>
      <c r="O246" s="3">
        <f>_xlfn.XLOOKUP(tblAsignaciones[[#This Row],[turno]],tblTurnos[turno],tblTurnos[hora_fin],"")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03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3">
        <f>COUNTIFS(tblTecnicos[rotativo],"SI",tblTecnicos[especialidad],tblAsignaciones[[#This Row],[especialidad]],tblTecnicos[area],tblAsignaciones[[#This Row],[area]])</f>
        <v/>
      </c>
      <c r="G2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6" t="n"/>
      <c r="I247" s="3">
        <f>IF(tblAsignaciones[[#This Row],[turno_manual]]&lt;&gt;"",tblAsignaciones[[#This Row],[turno_manual]],IF(LEFT(tblAsignaciones[[#This Row],[posicion_ciclo]],1)="B","B",tblAsignaciones[[#This Row],[posicion_ciclo]]))</f>
        <v/>
      </c>
      <c r="J247" s="3">
        <f>_xlfn.XLOOKUP(tblAsignaciones[[#This Row],[tecnico]],tblTecnicos[nombre],tblTecnicos[coordinador],"")</f>
        <v/>
      </c>
      <c r="K2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7" s="3">
        <f>tblAsignaciones[[#This Row],[semana]]&amp;"|"&amp;tblAsignaciones[[#This Row],[dia]]&amp;"|"&amp;tblAsignaciones[[#This Row],[tecnico]]</f>
        <v/>
      </c>
      <c r="N247" s="3">
        <f>_xlfn.XLOOKUP(tblAsignaciones[[#This Row],[turno]],tblTurnos[turno],tblTurnos[hora_inicio],"")</f>
        <v/>
      </c>
      <c r="O247" s="3">
        <f>_xlfn.XLOOKUP(tblAsignaciones[[#This Row],[turno]],tblTurnos[turno],tblTurnos[hora_fin],"")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03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3">
        <f>COUNTIFS(tblTecnicos[rotativo],"SI",tblTecnicos[especialidad],tblAsignaciones[[#This Row],[especialidad]],tblTecnicos[area],tblAsignaciones[[#This Row],[area]])</f>
        <v/>
      </c>
      <c r="G2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6" t="n"/>
      <c r="I248" s="3">
        <f>IF(tblAsignaciones[[#This Row],[turno_manual]]&lt;&gt;"",tblAsignaciones[[#This Row],[turno_manual]],IF(LEFT(tblAsignaciones[[#This Row],[posicion_ciclo]],1)="B","B",tblAsignaciones[[#This Row],[posicion_ciclo]]))</f>
        <v/>
      </c>
      <c r="J248" s="3">
        <f>_xlfn.XLOOKUP(tblAsignaciones[[#This Row],[tecnico]],tblTecnicos[nombre],tblTecnicos[coordinador],"")</f>
        <v/>
      </c>
      <c r="K2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8" s="3">
        <f>tblAsignaciones[[#This Row],[semana]]&amp;"|"&amp;tblAsignaciones[[#This Row],[dia]]&amp;"|"&amp;tblAsignaciones[[#This Row],[tecnico]]</f>
        <v/>
      </c>
      <c r="N248" s="3">
        <f>_xlfn.XLOOKUP(tblAsignaciones[[#This Row],[turno]],tblTurnos[turno],tblTurnos[hora_inicio],"")</f>
        <v/>
      </c>
      <c r="O248" s="3">
        <f>_xlfn.XLOOKUP(tblAsignaciones[[#This Row],[turno]],tblTurnos[turno],tblTurnos[hora_fin],"")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04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3">
        <f>COUNTIFS(tblTecnicos[rotativo],"SI",tblTecnicos[especialidad],tblAsignaciones[[#This Row],[especialidad]],tblTecnicos[area],tblAsignaciones[[#This Row],[area]])</f>
        <v/>
      </c>
      <c r="G2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6" t="n"/>
      <c r="I249" s="3">
        <f>IF(tblAsignaciones[[#This Row],[turno_manual]]&lt;&gt;"",tblAsignaciones[[#This Row],[turno_manual]],IF(LEFT(tblAsignaciones[[#This Row],[posicion_ciclo]],1)="B","B",tblAsignaciones[[#This Row],[posicion_ciclo]]))</f>
        <v/>
      </c>
      <c r="J249" s="3">
        <f>_xlfn.XLOOKUP(tblAsignaciones[[#This Row],[tecnico]],tblTecnicos[nombre],tblTecnicos[coordinador],"")</f>
        <v/>
      </c>
      <c r="K2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49" s="3">
        <f>tblAsignaciones[[#This Row],[semana]]&amp;"|"&amp;tblAsignaciones[[#This Row],[dia]]&amp;"|"&amp;tblAsignaciones[[#This Row],[tecnico]]</f>
        <v/>
      </c>
      <c r="N249" s="3">
        <f>_xlfn.XLOOKUP(tblAsignaciones[[#This Row],[turno]],tblTurnos[turno],tblTurnos[hora_inicio],"")</f>
        <v/>
      </c>
      <c r="O249" s="3">
        <f>_xlfn.XLOOKUP(tblAsignaciones[[#This Row],[turno]],tblTurnos[turno],tblTurnos[hora_fin],"")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04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3">
        <f>COUNTIFS(tblTecnicos[rotativo],"SI",tblTecnicos[especialidad],tblAsignaciones[[#This Row],[especialidad]],tblTecnicos[area],tblAsignaciones[[#This Row],[area]])</f>
        <v/>
      </c>
      <c r="G2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6" t="n"/>
      <c r="I250" s="3">
        <f>IF(tblAsignaciones[[#This Row],[turno_manual]]&lt;&gt;"",tblAsignaciones[[#This Row],[turno_manual]],IF(LEFT(tblAsignaciones[[#This Row],[posicion_ciclo]],1)="B","B",tblAsignaciones[[#This Row],[posicion_ciclo]]))</f>
        <v/>
      </c>
      <c r="J250" s="3">
        <f>_xlfn.XLOOKUP(tblAsignaciones[[#This Row],[tecnico]],tblTecnicos[nombre],tblTecnicos[coordinador],"")</f>
        <v/>
      </c>
      <c r="K2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0" s="3">
        <f>tblAsignaciones[[#This Row],[semana]]&amp;"|"&amp;tblAsignaciones[[#This Row],[dia]]&amp;"|"&amp;tblAsignaciones[[#This Row],[tecnico]]</f>
        <v/>
      </c>
      <c r="N250" s="3">
        <f>_xlfn.XLOOKUP(tblAsignaciones[[#This Row],[turno]],tblTurnos[turno],tblTurnos[hora_inicio],"")</f>
        <v/>
      </c>
      <c r="O250" s="3">
        <f>_xlfn.XLOOKUP(tblAsignaciones[[#This Row],[turno]],tblTurnos[turno],tblTurnos[hora_fin],"")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04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3">
        <f>COUNTIFS(tblTecnicos[rotativo],"SI",tblTecnicos[especialidad],tblAsignaciones[[#This Row],[especialidad]],tblTecnicos[area],tblAsignaciones[[#This Row],[area]])</f>
        <v/>
      </c>
      <c r="G2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6" t="n"/>
      <c r="I251" s="3">
        <f>IF(tblAsignaciones[[#This Row],[turno_manual]]&lt;&gt;"",tblAsignaciones[[#This Row],[turno_manual]],IF(LEFT(tblAsignaciones[[#This Row],[posicion_ciclo]],1)="B","B",tblAsignaciones[[#This Row],[posicion_ciclo]]))</f>
        <v/>
      </c>
      <c r="J251" s="3">
        <f>_xlfn.XLOOKUP(tblAsignaciones[[#This Row],[tecnico]],tblTecnicos[nombre],tblTecnicos[coordinador],"")</f>
        <v/>
      </c>
      <c r="K2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1" s="3">
        <f>tblAsignaciones[[#This Row],[semana]]&amp;"|"&amp;tblAsignaciones[[#This Row],[dia]]&amp;"|"&amp;tblAsignaciones[[#This Row],[tecnico]]</f>
        <v/>
      </c>
      <c r="N251" s="3">
        <f>_xlfn.XLOOKUP(tblAsignaciones[[#This Row],[turno]],tblTurnos[turno],tblTurnos[hora_inicio],"")</f>
        <v/>
      </c>
      <c r="O251" s="3">
        <f>_xlfn.XLOOKUP(tblAsignaciones[[#This Row],[turno]],tblTurnos[turno],tblTurnos[hora_fin],"")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04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3">
        <f>COUNTIFS(tblTecnicos[rotativo],"SI",tblTecnicos[especialidad],tblAsignaciones[[#This Row],[especialidad]],tblTecnicos[area],tblAsignaciones[[#This Row],[area]])</f>
        <v/>
      </c>
      <c r="G2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6" t="n"/>
      <c r="I252" s="3">
        <f>IF(tblAsignaciones[[#This Row],[turno_manual]]&lt;&gt;"",tblAsignaciones[[#This Row],[turno_manual]],IF(LEFT(tblAsignaciones[[#This Row],[posicion_ciclo]],1)="B","B",tblAsignaciones[[#This Row],[posicion_ciclo]]))</f>
        <v/>
      </c>
      <c r="J252" s="3">
        <f>_xlfn.XLOOKUP(tblAsignaciones[[#This Row],[tecnico]],tblTecnicos[nombre],tblTecnicos[coordinador],"")</f>
        <v/>
      </c>
      <c r="K2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2" s="3">
        <f>tblAsignaciones[[#This Row],[semana]]&amp;"|"&amp;tblAsignaciones[[#This Row],[dia]]&amp;"|"&amp;tblAsignaciones[[#This Row],[tecnico]]</f>
        <v/>
      </c>
      <c r="N252" s="3">
        <f>_xlfn.XLOOKUP(tblAsignaciones[[#This Row],[turno]],tblTurnos[turno],tblTurnos[hora_inicio],"")</f>
        <v/>
      </c>
      <c r="O252" s="3">
        <f>_xlfn.XLOOKUP(tblAsignaciones[[#This Row],[turno]],tblTurnos[turno],tblTurnos[hora_fin],"")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04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3">
        <f>COUNTIFS(tblTecnicos[rotativo],"SI",tblTecnicos[especialidad],tblAsignaciones[[#This Row],[especialidad]],tblTecnicos[area],tblAsignaciones[[#This Row],[area]])</f>
        <v/>
      </c>
      <c r="G2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6" t="n"/>
      <c r="I253" s="3">
        <f>IF(tblAsignaciones[[#This Row],[turno_manual]]&lt;&gt;"",tblAsignaciones[[#This Row],[turno_manual]],IF(LEFT(tblAsignaciones[[#This Row],[posicion_ciclo]],1)="B","B",tblAsignaciones[[#This Row],[posicion_ciclo]]))</f>
        <v/>
      </c>
      <c r="J253" s="3">
        <f>_xlfn.XLOOKUP(tblAsignaciones[[#This Row],[tecnico]],tblTecnicos[nombre],tblTecnicos[coordinador],"")</f>
        <v/>
      </c>
      <c r="K2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3" s="3">
        <f>tblAsignaciones[[#This Row],[semana]]&amp;"|"&amp;tblAsignaciones[[#This Row],[dia]]&amp;"|"&amp;tblAsignaciones[[#This Row],[tecnico]]</f>
        <v/>
      </c>
      <c r="N253" s="3">
        <f>_xlfn.XLOOKUP(tblAsignaciones[[#This Row],[turno]],tblTurnos[turno],tblTurnos[hora_inicio],"")</f>
        <v/>
      </c>
      <c r="O253" s="3">
        <f>_xlfn.XLOOKUP(tblAsignaciones[[#This Row],[turno]],tblTurnos[turno],tblTurnos[hora_fin],"")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04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3">
        <f>COUNTIFS(tblTecnicos[rotativo],"SI",tblTecnicos[especialidad],tblAsignaciones[[#This Row],[especialidad]],tblTecnicos[area],tblAsignaciones[[#This Row],[area]])</f>
        <v/>
      </c>
      <c r="G2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6" t="n"/>
      <c r="I254" s="3">
        <f>IF(tblAsignaciones[[#This Row],[turno_manual]]&lt;&gt;"",tblAsignaciones[[#This Row],[turno_manual]],IF(LEFT(tblAsignaciones[[#This Row],[posicion_ciclo]],1)="B","B",tblAsignaciones[[#This Row],[posicion_ciclo]]))</f>
        <v/>
      </c>
      <c r="J254" s="3">
        <f>_xlfn.XLOOKUP(tblAsignaciones[[#This Row],[tecnico]],tblTecnicos[nombre],tblTecnicos[coordinador],"")</f>
        <v/>
      </c>
      <c r="K2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4" s="3">
        <f>tblAsignaciones[[#This Row],[semana]]&amp;"|"&amp;tblAsignaciones[[#This Row],[dia]]&amp;"|"&amp;tblAsignaciones[[#This Row],[tecnico]]</f>
        <v/>
      </c>
      <c r="N254" s="3">
        <f>_xlfn.XLOOKUP(tblAsignaciones[[#This Row],[turno]],tblTurnos[turno],tblTurnos[hora_inicio],"")</f>
        <v/>
      </c>
      <c r="O254" s="3">
        <f>_xlfn.XLOOKUP(tblAsignaciones[[#This Row],[turno]],tblTurnos[turno],tblTurnos[hora_fin],"")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04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3">
        <f>COUNTIFS(tblTecnicos[rotativo],"SI",tblTecnicos[especialidad],tblAsignaciones[[#This Row],[especialidad]],tblTecnicos[area],tblAsignaciones[[#This Row],[area]])</f>
        <v/>
      </c>
      <c r="G2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6" t="n"/>
      <c r="I255" s="3">
        <f>IF(tblAsignaciones[[#This Row],[turno_manual]]&lt;&gt;"",tblAsignaciones[[#This Row],[turno_manual]],IF(LEFT(tblAsignaciones[[#This Row],[posicion_ciclo]],1)="B","B",tblAsignaciones[[#This Row],[posicion_ciclo]]))</f>
        <v/>
      </c>
      <c r="J255" s="3">
        <f>_xlfn.XLOOKUP(tblAsignaciones[[#This Row],[tecnico]],tblTecnicos[nombre],tblTecnicos[coordinador],"")</f>
        <v/>
      </c>
      <c r="K2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5" s="3">
        <f>tblAsignaciones[[#This Row],[semana]]&amp;"|"&amp;tblAsignaciones[[#This Row],[dia]]&amp;"|"&amp;tblAsignaciones[[#This Row],[tecnico]]</f>
        <v/>
      </c>
      <c r="N255" s="3">
        <f>_xlfn.XLOOKUP(tblAsignaciones[[#This Row],[turno]],tblTurnos[turno],tblTurnos[hora_inicio],"")</f>
        <v/>
      </c>
      <c r="O255" s="3">
        <f>_xlfn.XLOOKUP(tblAsignaciones[[#This Row],[turno]],tblTurnos[turno],tblTurnos[hora_fin],"")</f>
        <v/>
      </c>
    </row>
    <row r="256">
      <c r="A256" s="3" t="inlineStr">
        <is>
          <t>2026-S31</t>
        </is>
      </c>
      <c r="B256" s="3" t="inlineStr">
        <is>
          <t>lunes</t>
        </is>
      </c>
      <c r="C256" s="3" t="inlineStr">
        <is>
          <t>Técnico 05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3">
        <f>COUNTIFS(tblTecnicos[rotativo],"SI",tblTecnicos[especialidad],tblAsignaciones[[#This Row],[especialidad]],tblTecnicos[area],tblAsignaciones[[#This Row],[area]])</f>
        <v/>
      </c>
      <c r="G2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6" t="n"/>
      <c r="I256" s="3">
        <f>IF(tblAsignaciones[[#This Row],[turno_manual]]&lt;&gt;"",tblAsignaciones[[#This Row],[turno_manual]],IF(LEFT(tblAsignaciones[[#This Row],[posicion_ciclo]],1)="B","B",tblAsignaciones[[#This Row],[posicion_ciclo]]))</f>
        <v/>
      </c>
      <c r="J256" s="3">
        <f>_xlfn.XLOOKUP(tblAsignaciones[[#This Row],[tecnico]],tblTecnicos[nombre],tblTecnicos[coordinador],"")</f>
        <v/>
      </c>
      <c r="K2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6" s="3">
        <f>tblAsignaciones[[#This Row],[semana]]&amp;"|"&amp;tblAsignaciones[[#This Row],[dia]]&amp;"|"&amp;tblAsignaciones[[#This Row],[tecnico]]</f>
        <v/>
      </c>
      <c r="N256" s="3">
        <f>_xlfn.XLOOKUP(tblAsignaciones[[#This Row],[turno]],tblTurnos[turno],tblTurnos[hora_inicio],"")</f>
        <v/>
      </c>
      <c r="O256" s="3">
        <f>_xlfn.XLOOKUP(tblAsignaciones[[#This Row],[turno]],tblTurnos[turno],tblTurnos[hora_fin],"")</f>
        <v/>
      </c>
    </row>
    <row r="257">
      <c r="A257" s="3" t="inlineStr">
        <is>
          <t>2026-S31</t>
        </is>
      </c>
      <c r="B257" s="3" t="inlineStr">
        <is>
          <t>martes</t>
        </is>
      </c>
      <c r="C257" s="3" t="inlineStr">
        <is>
          <t>Técnico 05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3">
        <f>COUNTIFS(tblTecnicos[rotativo],"SI",tblTecnicos[especialidad],tblAsignaciones[[#This Row],[especialidad]],tblTecnicos[area],tblAsignaciones[[#This Row],[area]])</f>
        <v/>
      </c>
      <c r="G2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6" t="n"/>
      <c r="I257" s="3">
        <f>IF(tblAsignaciones[[#This Row],[turno_manual]]&lt;&gt;"",tblAsignaciones[[#This Row],[turno_manual]],IF(LEFT(tblAsignaciones[[#This Row],[posicion_ciclo]],1)="B","B",tblAsignaciones[[#This Row],[posicion_ciclo]]))</f>
        <v/>
      </c>
      <c r="J257" s="3">
        <f>_xlfn.XLOOKUP(tblAsignaciones[[#This Row],[tecnico]],tblTecnicos[nombre],tblTecnicos[coordinador],"")</f>
        <v/>
      </c>
      <c r="K2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7" s="3">
        <f>tblAsignaciones[[#This Row],[semana]]&amp;"|"&amp;tblAsignaciones[[#This Row],[dia]]&amp;"|"&amp;tblAsignaciones[[#This Row],[tecnico]]</f>
        <v/>
      </c>
      <c r="N257" s="3">
        <f>_xlfn.XLOOKUP(tblAsignaciones[[#This Row],[turno]],tblTurnos[turno],tblTurnos[hora_inicio],"")</f>
        <v/>
      </c>
      <c r="O257" s="3">
        <f>_xlfn.XLOOKUP(tblAsignaciones[[#This Row],[turno]],tblTurnos[turno],tblTurnos[hora_fin],"")</f>
        <v/>
      </c>
    </row>
    <row r="258">
      <c r="A258" s="3" t="inlineStr">
        <is>
          <t>2026-S31</t>
        </is>
      </c>
      <c r="B258" s="3" t="inlineStr">
        <is>
          <t>miércoles</t>
        </is>
      </c>
      <c r="C258" s="3" t="inlineStr">
        <is>
          <t>Técnico 05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3">
        <f>COUNTIFS(tblTecnicos[rotativo],"SI",tblTecnicos[especialidad],tblAsignaciones[[#This Row],[especialidad]],tblTecnicos[area],tblAsignaciones[[#This Row],[area]])</f>
        <v/>
      </c>
      <c r="G2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6" t="n"/>
      <c r="I258" s="3">
        <f>IF(tblAsignaciones[[#This Row],[turno_manual]]&lt;&gt;"",tblAsignaciones[[#This Row],[turno_manual]],IF(LEFT(tblAsignaciones[[#This Row],[posicion_ciclo]],1)="B","B",tblAsignaciones[[#This Row],[posicion_ciclo]]))</f>
        <v/>
      </c>
      <c r="J258" s="3">
        <f>_xlfn.XLOOKUP(tblAsignaciones[[#This Row],[tecnico]],tblTecnicos[nombre],tblTecnicos[coordinador],"")</f>
        <v/>
      </c>
      <c r="K2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8" s="3">
        <f>tblAsignaciones[[#This Row],[semana]]&amp;"|"&amp;tblAsignaciones[[#This Row],[dia]]&amp;"|"&amp;tblAsignaciones[[#This Row],[tecnico]]</f>
        <v/>
      </c>
      <c r="N258" s="3">
        <f>_xlfn.XLOOKUP(tblAsignaciones[[#This Row],[turno]],tblTurnos[turno],tblTurnos[hora_inicio],"")</f>
        <v/>
      </c>
      <c r="O258" s="3">
        <f>_xlfn.XLOOKUP(tblAsignaciones[[#This Row],[turno]],tblTurnos[turno],tblTurnos[hora_fin],"")</f>
        <v/>
      </c>
    </row>
    <row r="259">
      <c r="A259" s="3" t="inlineStr">
        <is>
          <t>2026-S31</t>
        </is>
      </c>
      <c r="B259" s="3" t="inlineStr">
        <is>
          <t>jueves</t>
        </is>
      </c>
      <c r="C259" s="3" t="inlineStr">
        <is>
          <t>Técnico 05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3">
        <f>COUNTIFS(tblTecnicos[rotativo],"SI",tblTecnicos[especialidad],tblAsignaciones[[#This Row],[especialidad]],tblTecnicos[area],tblAsignaciones[[#This Row],[area]])</f>
        <v/>
      </c>
      <c r="G2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6" t="n"/>
      <c r="I259" s="3">
        <f>IF(tblAsignaciones[[#This Row],[turno_manual]]&lt;&gt;"",tblAsignaciones[[#This Row],[turno_manual]],IF(LEFT(tblAsignaciones[[#This Row],[posicion_ciclo]],1)="B","B",tblAsignaciones[[#This Row],[posicion_ciclo]]))</f>
        <v/>
      </c>
      <c r="J259" s="3">
        <f>_xlfn.XLOOKUP(tblAsignaciones[[#This Row],[tecnico]],tblTecnicos[nombre],tblTecnicos[coordinador],"")</f>
        <v/>
      </c>
      <c r="K2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59" s="3">
        <f>tblAsignaciones[[#This Row],[semana]]&amp;"|"&amp;tblAsignaciones[[#This Row],[dia]]&amp;"|"&amp;tblAsignaciones[[#This Row],[tecnico]]</f>
        <v/>
      </c>
      <c r="N259" s="3">
        <f>_xlfn.XLOOKUP(tblAsignaciones[[#This Row],[turno]],tblTurnos[turno],tblTurnos[hora_inicio],"")</f>
        <v/>
      </c>
      <c r="O259" s="3">
        <f>_xlfn.XLOOKUP(tblAsignaciones[[#This Row],[turno]],tblTurnos[turno],tblTurnos[hora_fin],"")</f>
        <v/>
      </c>
    </row>
    <row r="260">
      <c r="A260" s="3" t="inlineStr">
        <is>
          <t>2026-S31</t>
        </is>
      </c>
      <c r="B260" s="3" t="inlineStr">
        <is>
          <t>viernes</t>
        </is>
      </c>
      <c r="C260" s="3" t="inlineStr">
        <is>
          <t>Técnico 05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3">
        <f>COUNTIFS(tblTecnicos[rotativo],"SI",tblTecnicos[especialidad],tblAsignaciones[[#This Row],[especialidad]],tblTecnicos[area],tblAsignaciones[[#This Row],[area]])</f>
        <v/>
      </c>
      <c r="G2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6" t="n"/>
      <c r="I260" s="3">
        <f>IF(tblAsignaciones[[#This Row],[turno_manual]]&lt;&gt;"",tblAsignaciones[[#This Row],[turno_manual]],IF(LEFT(tblAsignaciones[[#This Row],[posicion_ciclo]],1)="B","B",tblAsignaciones[[#This Row],[posicion_ciclo]]))</f>
        <v/>
      </c>
      <c r="J260" s="3">
        <f>_xlfn.XLOOKUP(tblAsignaciones[[#This Row],[tecnico]],tblTecnicos[nombre],tblTecnicos[coordinador],"")</f>
        <v/>
      </c>
      <c r="K2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0" s="3">
        <f>tblAsignaciones[[#This Row],[semana]]&amp;"|"&amp;tblAsignaciones[[#This Row],[dia]]&amp;"|"&amp;tblAsignaciones[[#This Row],[tecnico]]</f>
        <v/>
      </c>
      <c r="N260" s="3">
        <f>_xlfn.XLOOKUP(tblAsignaciones[[#This Row],[turno]],tblTurnos[turno],tblTurnos[hora_inicio],"")</f>
        <v/>
      </c>
      <c r="O260" s="3">
        <f>_xlfn.XLOOKUP(tblAsignaciones[[#This Row],[turno]],tblTurnos[turno],tblTurnos[hora_fin],"")</f>
        <v/>
      </c>
    </row>
    <row r="261">
      <c r="A261" s="3" t="inlineStr">
        <is>
          <t>2026-S31</t>
        </is>
      </c>
      <c r="B261" s="3" t="inlineStr">
        <is>
          <t>sábado</t>
        </is>
      </c>
      <c r="C261" s="3" t="inlineStr">
        <is>
          <t>Técnico 05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3">
        <f>COUNTIFS(tblTecnicos[rotativo],"SI",tblTecnicos[especialidad],tblAsignaciones[[#This Row],[especialidad]],tblTecnicos[area],tblAsignaciones[[#This Row],[area]])</f>
        <v/>
      </c>
      <c r="G2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6" t="n"/>
      <c r="I261" s="3">
        <f>IF(tblAsignaciones[[#This Row],[turno_manual]]&lt;&gt;"",tblAsignaciones[[#This Row],[turno_manual]],IF(LEFT(tblAsignaciones[[#This Row],[posicion_ciclo]],1)="B","B",tblAsignaciones[[#This Row],[posicion_ciclo]]))</f>
        <v/>
      </c>
      <c r="J261" s="3">
        <f>_xlfn.XLOOKUP(tblAsignaciones[[#This Row],[tecnico]],tblTecnicos[nombre],tblTecnicos[coordinador],"")</f>
        <v/>
      </c>
      <c r="K2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1" s="3">
        <f>tblAsignaciones[[#This Row],[semana]]&amp;"|"&amp;tblAsignaciones[[#This Row],[dia]]&amp;"|"&amp;tblAsignaciones[[#This Row],[tecnico]]</f>
        <v/>
      </c>
      <c r="N261" s="3">
        <f>_xlfn.XLOOKUP(tblAsignaciones[[#This Row],[turno]],tblTurnos[turno],tblTurnos[hora_inicio],"")</f>
        <v/>
      </c>
      <c r="O261" s="3">
        <f>_xlfn.XLOOKUP(tblAsignaciones[[#This Row],[turno]],tblTurnos[turno],tblTurnos[hora_fin],"")</f>
        <v/>
      </c>
    </row>
    <row r="262">
      <c r="A262" s="3" t="inlineStr">
        <is>
          <t>2026-S31</t>
        </is>
      </c>
      <c r="B262" s="3" t="inlineStr">
        <is>
          <t>domingo</t>
        </is>
      </c>
      <c r="C262" s="3" t="inlineStr">
        <is>
          <t>Técnico 05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3">
        <f>COUNTIFS(tblTecnicos[rotativo],"SI",tblTecnicos[especialidad],tblAsignaciones[[#This Row],[especialidad]],tblTecnicos[area],tblAsignaciones[[#This Row],[area]])</f>
        <v/>
      </c>
      <c r="G2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6" t="n"/>
      <c r="I262" s="3">
        <f>IF(tblAsignaciones[[#This Row],[turno_manual]]&lt;&gt;"",tblAsignaciones[[#This Row],[turno_manual]],IF(LEFT(tblAsignaciones[[#This Row],[posicion_ciclo]],1)="B","B",tblAsignaciones[[#This Row],[posicion_ciclo]]))</f>
        <v/>
      </c>
      <c r="J262" s="3">
        <f>_xlfn.XLOOKUP(tblAsignaciones[[#This Row],[tecnico]],tblTecnicos[nombre],tblTecnicos[coordinador],"")</f>
        <v/>
      </c>
      <c r="K2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2" s="3">
        <f>tblAsignaciones[[#This Row],[semana]]&amp;"|"&amp;tblAsignaciones[[#This Row],[dia]]&amp;"|"&amp;tblAsignaciones[[#This Row],[tecnico]]</f>
        <v/>
      </c>
      <c r="N262" s="3">
        <f>_xlfn.XLOOKUP(tblAsignaciones[[#This Row],[turno]],tblTurnos[turno],tblTurnos[hora_inicio],"")</f>
        <v/>
      </c>
      <c r="O262" s="3">
        <f>_xlfn.XLOOKUP(tblAsignaciones[[#This Row],[turno]],tblTurnos[turno],tblTurnos[hora_fin],"")</f>
        <v/>
      </c>
    </row>
    <row r="263">
      <c r="A263" s="3" t="inlineStr">
        <is>
          <t>2026-S31</t>
        </is>
      </c>
      <c r="B263" s="3" t="inlineStr">
        <is>
          <t>lunes</t>
        </is>
      </c>
      <c r="C263" s="3" t="inlineStr">
        <is>
          <t>Técnico 06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3">
        <f>COUNTIFS(tblTecnicos[rotativo],"SI",tblTecnicos[especialidad],tblAsignaciones[[#This Row],[especialidad]],tblTecnicos[area],tblAsignaciones[[#This Row],[area]])</f>
        <v/>
      </c>
      <c r="G2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6" t="n"/>
      <c r="I263" s="3">
        <f>IF(tblAsignaciones[[#This Row],[turno_manual]]&lt;&gt;"",tblAsignaciones[[#This Row],[turno_manual]],IF(LEFT(tblAsignaciones[[#This Row],[posicion_ciclo]],1)="B","B",tblAsignaciones[[#This Row],[posicion_ciclo]]))</f>
        <v/>
      </c>
      <c r="J263" s="3">
        <f>_xlfn.XLOOKUP(tblAsignaciones[[#This Row],[tecnico]],tblTecnicos[nombre],tblTecnicos[coordinador],"")</f>
        <v/>
      </c>
      <c r="K2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3" s="3">
        <f>tblAsignaciones[[#This Row],[semana]]&amp;"|"&amp;tblAsignaciones[[#This Row],[dia]]&amp;"|"&amp;tblAsignaciones[[#This Row],[tecnico]]</f>
        <v/>
      </c>
      <c r="N263" s="3">
        <f>_xlfn.XLOOKUP(tblAsignaciones[[#This Row],[turno]],tblTurnos[turno],tblTurnos[hora_inicio],"")</f>
        <v/>
      </c>
      <c r="O263" s="3">
        <f>_xlfn.XLOOKUP(tblAsignaciones[[#This Row],[turno]],tblTurnos[turno],tblTurnos[hora_fin],"")</f>
        <v/>
      </c>
    </row>
    <row r="264">
      <c r="A264" s="3" t="inlineStr">
        <is>
          <t>2026-S31</t>
        </is>
      </c>
      <c r="B264" s="3" t="inlineStr">
        <is>
          <t>martes</t>
        </is>
      </c>
      <c r="C264" s="3" t="inlineStr">
        <is>
          <t>Técnico 06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3">
        <f>COUNTIFS(tblTecnicos[rotativo],"SI",tblTecnicos[especialidad],tblAsignaciones[[#This Row],[especialidad]],tblTecnicos[area],tblAsignaciones[[#This Row],[area]])</f>
        <v/>
      </c>
      <c r="G2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6" t="n"/>
      <c r="I264" s="3">
        <f>IF(tblAsignaciones[[#This Row],[turno_manual]]&lt;&gt;"",tblAsignaciones[[#This Row],[turno_manual]],IF(LEFT(tblAsignaciones[[#This Row],[posicion_ciclo]],1)="B","B",tblAsignaciones[[#This Row],[posicion_ciclo]]))</f>
        <v/>
      </c>
      <c r="J264" s="3">
        <f>_xlfn.XLOOKUP(tblAsignaciones[[#This Row],[tecnico]],tblTecnicos[nombre],tblTecnicos[coordinador],"")</f>
        <v/>
      </c>
      <c r="K2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4" s="3">
        <f>tblAsignaciones[[#This Row],[semana]]&amp;"|"&amp;tblAsignaciones[[#This Row],[dia]]&amp;"|"&amp;tblAsignaciones[[#This Row],[tecnico]]</f>
        <v/>
      </c>
      <c r="N264" s="3">
        <f>_xlfn.XLOOKUP(tblAsignaciones[[#This Row],[turno]],tblTurnos[turno],tblTurnos[hora_inicio],"")</f>
        <v/>
      </c>
      <c r="O264" s="3">
        <f>_xlfn.XLOOKUP(tblAsignaciones[[#This Row],[turno]],tblTurnos[turno],tblTurnos[hora_fin],"")</f>
        <v/>
      </c>
    </row>
    <row r="265">
      <c r="A265" s="3" t="inlineStr">
        <is>
          <t>2026-S31</t>
        </is>
      </c>
      <c r="B265" s="3" t="inlineStr">
        <is>
          <t>miércoles</t>
        </is>
      </c>
      <c r="C265" s="3" t="inlineStr">
        <is>
          <t>Técnico 06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3">
        <f>COUNTIFS(tblTecnicos[rotativo],"SI",tblTecnicos[especialidad],tblAsignaciones[[#This Row],[especialidad]],tblTecnicos[area],tblAsignaciones[[#This Row],[area]])</f>
        <v/>
      </c>
      <c r="G2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6" t="n"/>
      <c r="I265" s="3">
        <f>IF(tblAsignaciones[[#This Row],[turno_manual]]&lt;&gt;"",tblAsignaciones[[#This Row],[turno_manual]],IF(LEFT(tblAsignaciones[[#This Row],[posicion_ciclo]],1)="B","B",tblAsignaciones[[#This Row],[posicion_ciclo]]))</f>
        <v/>
      </c>
      <c r="J265" s="3">
        <f>_xlfn.XLOOKUP(tblAsignaciones[[#This Row],[tecnico]],tblTecnicos[nombre],tblTecnicos[coordinador],"")</f>
        <v/>
      </c>
      <c r="K2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5" s="3">
        <f>tblAsignaciones[[#This Row],[semana]]&amp;"|"&amp;tblAsignaciones[[#This Row],[dia]]&amp;"|"&amp;tblAsignaciones[[#This Row],[tecnico]]</f>
        <v/>
      </c>
      <c r="N265" s="3">
        <f>_xlfn.XLOOKUP(tblAsignaciones[[#This Row],[turno]],tblTurnos[turno],tblTurnos[hora_inicio],"")</f>
        <v/>
      </c>
      <c r="O265" s="3">
        <f>_xlfn.XLOOKUP(tblAsignaciones[[#This Row],[turno]],tblTurnos[turno],tblTurnos[hora_fin],"")</f>
        <v/>
      </c>
    </row>
    <row r="266">
      <c r="A266" s="3" t="inlineStr">
        <is>
          <t>2026-S31</t>
        </is>
      </c>
      <c r="B266" s="3" t="inlineStr">
        <is>
          <t>jueves</t>
        </is>
      </c>
      <c r="C266" s="3" t="inlineStr">
        <is>
          <t>Técnico 06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3">
        <f>COUNTIFS(tblTecnicos[rotativo],"SI",tblTecnicos[especialidad],tblAsignaciones[[#This Row],[especialidad]],tblTecnicos[area],tblAsignaciones[[#This Row],[area]])</f>
        <v/>
      </c>
      <c r="G2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6" t="n"/>
      <c r="I266" s="3">
        <f>IF(tblAsignaciones[[#This Row],[turno_manual]]&lt;&gt;"",tblAsignaciones[[#This Row],[turno_manual]],IF(LEFT(tblAsignaciones[[#This Row],[posicion_ciclo]],1)="B","B",tblAsignaciones[[#This Row],[posicion_ciclo]]))</f>
        <v/>
      </c>
      <c r="J266" s="3">
        <f>_xlfn.XLOOKUP(tblAsignaciones[[#This Row],[tecnico]],tblTecnicos[nombre],tblTecnicos[coordinador],"")</f>
        <v/>
      </c>
      <c r="K2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6" s="3">
        <f>tblAsignaciones[[#This Row],[semana]]&amp;"|"&amp;tblAsignaciones[[#This Row],[dia]]&amp;"|"&amp;tblAsignaciones[[#This Row],[tecnico]]</f>
        <v/>
      </c>
      <c r="N266" s="3">
        <f>_xlfn.XLOOKUP(tblAsignaciones[[#This Row],[turno]],tblTurnos[turno],tblTurnos[hora_inicio],"")</f>
        <v/>
      </c>
      <c r="O266" s="3">
        <f>_xlfn.XLOOKUP(tblAsignaciones[[#This Row],[turno]],tblTurnos[turno],tblTurnos[hora_fin],"")</f>
        <v/>
      </c>
    </row>
    <row r="267">
      <c r="A267" s="3" t="inlineStr">
        <is>
          <t>2026-S31</t>
        </is>
      </c>
      <c r="B267" s="3" t="inlineStr">
        <is>
          <t>viernes</t>
        </is>
      </c>
      <c r="C267" s="3" t="inlineStr">
        <is>
          <t>Técnico 06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3">
        <f>COUNTIFS(tblTecnicos[rotativo],"SI",tblTecnicos[especialidad],tblAsignaciones[[#This Row],[especialidad]],tblTecnicos[area],tblAsignaciones[[#This Row],[area]])</f>
        <v/>
      </c>
      <c r="G2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6" t="n"/>
      <c r="I267" s="3">
        <f>IF(tblAsignaciones[[#This Row],[turno_manual]]&lt;&gt;"",tblAsignaciones[[#This Row],[turno_manual]],IF(LEFT(tblAsignaciones[[#This Row],[posicion_ciclo]],1)="B","B",tblAsignaciones[[#This Row],[posicion_ciclo]]))</f>
        <v/>
      </c>
      <c r="J267" s="3">
        <f>_xlfn.XLOOKUP(tblAsignaciones[[#This Row],[tecnico]],tblTecnicos[nombre],tblTecnicos[coordinador],"")</f>
        <v/>
      </c>
      <c r="K2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7" s="3">
        <f>tblAsignaciones[[#This Row],[semana]]&amp;"|"&amp;tblAsignaciones[[#This Row],[dia]]&amp;"|"&amp;tblAsignaciones[[#This Row],[tecnico]]</f>
        <v/>
      </c>
      <c r="N267" s="3">
        <f>_xlfn.XLOOKUP(tblAsignaciones[[#This Row],[turno]],tblTurnos[turno],tblTurnos[hora_inicio],"")</f>
        <v/>
      </c>
      <c r="O267" s="3">
        <f>_xlfn.XLOOKUP(tblAsignaciones[[#This Row],[turno]],tblTurnos[turno],tblTurnos[hora_fin],"")</f>
        <v/>
      </c>
    </row>
    <row r="268">
      <c r="A268" s="3" t="inlineStr">
        <is>
          <t>2026-S31</t>
        </is>
      </c>
      <c r="B268" s="3" t="inlineStr">
        <is>
          <t>sábado</t>
        </is>
      </c>
      <c r="C268" s="3" t="inlineStr">
        <is>
          <t>Técnico 06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3">
        <f>COUNTIFS(tblTecnicos[rotativo],"SI",tblTecnicos[especialidad],tblAsignaciones[[#This Row],[especialidad]],tblTecnicos[area],tblAsignaciones[[#This Row],[area]])</f>
        <v/>
      </c>
      <c r="G2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6" t="n"/>
      <c r="I268" s="3">
        <f>IF(tblAsignaciones[[#This Row],[turno_manual]]&lt;&gt;"",tblAsignaciones[[#This Row],[turno_manual]],IF(LEFT(tblAsignaciones[[#This Row],[posicion_ciclo]],1)="B","B",tblAsignaciones[[#This Row],[posicion_ciclo]]))</f>
        <v/>
      </c>
      <c r="J268" s="3">
        <f>_xlfn.XLOOKUP(tblAsignaciones[[#This Row],[tecnico]],tblTecnicos[nombre],tblTecnicos[coordinador],"")</f>
        <v/>
      </c>
      <c r="K2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8" s="3">
        <f>tblAsignaciones[[#This Row],[semana]]&amp;"|"&amp;tblAsignaciones[[#This Row],[dia]]&amp;"|"&amp;tblAsignaciones[[#This Row],[tecnico]]</f>
        <v/>
      </c>
      <c r="N268" s="3">
        <f>_xlfn.XLOOKUP(tblAsignaciones[[#This Row],[turno]],tblTurnos[turno],tblTurnos[hora_inicio],"")</f>
        <v/>
      </c>
      <c r="O268" s="3">
        <f>_xlfn.XLOOKUP(tblAsignaciones[[#This Row],[turno]],tblTurnos[turno],tblTurnos[hora_fin],"")</f>
        <v/>
      </c>
    </row>
    <row r="269">
      <c r="A269" s="3" t="inlineStr">
        <is>
          <t>2026-S31</t>
        </is>
      </c>
      <c r="B269" s="3" t="inlineStr">
        <is>
          <t>domingo</t>
        </is>
      </c>
      <c r="C269" s="3" t="inlineStr">
        <is>
          <t>Técnico 06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3">
        <f>COUNTIFS(tblTecnicos[rotativo],"SI",tblTecnicos[especialidad],tblAsignaciones[[#This Row],[especialidad]],tblTecnicos[area],tblAsignaciones[[#This Row],[area]])</f>
        <v/>
      </c>
      <c r="G2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6" t="n"/>
      <c r="I269" s="3">
        <f>IF(tblAsignaciones[[#This Row],[turno_manual]]&lt;&gt;"",tblAsignaciones[[#This Row],[turno_manual]],IF(LEFT(tblAsignaciones[[#This Row],[posicion_ciclo]],1)="B","B",tblAsignaciones[[#This Row],[posicion_ciclo]]))</f>
        <v/>
      </c>
      <c r="J269" s="3">
        <f>_xlfn.XLOOKUP(tblAsignaciones[[#This Row],[tecnico]],tblTecnicos[nombre],tblTecnicos[coordinador],"")</f>
        <v/>
      </c>
      <c r="K2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69" s="3">
        <f>tblAsignaciones[[#This Row],[semana]]&amp;"|"&amp;tblAsignaciones[[#This Row],[dia]]&amp;"|"&amp;tblAsignaciones[[#This Row],[tecnico]]</f>
        <v/>
      </c>
      <c r="N269" s="3">
        <f>_xlfn.XLOOKUP(tblAsignaciones[[#This Row],[turno]],tblTurnos[turno],tblTurnos[hora_inicio],"")</f>
        <v/>
      </c>
      <c r="O269" s="3">
        <f>_xlfn.XLOOKUP(tblAsignaciones[[#This Row],[turno]],tblTurnos[turno],tblTurnos[hora_fin],"")</f>
        <v/>
      </c>
    </row>
    <row r="270">
      <c r="A270" s="3" t="inlineStr">
        <is>
          <t>2026-S31</t>
        </is>
      </c>
      <c r="B270" s="3" t="inlineStr">
        <is>
          <t>lunes</t>
        </is>
      </c>
      <c r="C270" s="3" t="inlineStr">
        <is>
          <t>Técnico 07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3">
        <f>COUNTIFS(tblTecnicos[rotativo],"SI",tblTecnicos[especialidad],tblAsignaciones[[#This Row],[especialidad]],tblTecnicos[area],tblAsignaciones[[#This Row],[area]])</f>
        <v/>
      </c>
      <c r="G2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6" t="n"/>
      <c r="I270" s="3">
        <f>IF(tblAsignaciones[[#This Row],[turno_manual]]&lt;&gt;"",tblAsignaciones[[#This Row],[turno_manual]],IF(LEFT(tblAsignaciones[[#This Row],[posicion_ciclo]],1)="B","B",tblAsignaciones[[#This Row],[posicion_ciclo]]))</f>
        <v/>
      </c>
      <c r="J270" s="3">
        <f>_xlfn.XLOOKUP(tblAsignaciones[[#This Row],[tecnico]],tblTecnicos[nombre],tblTecnicos[coordinador],"")</f>
        <v/>
      </c>
      <c r="K2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0" s="3">
        <f>tblAsignaciones[[#This Row],[semana]]&amp;"|"&amp;tblAsignaciones[[#This Row],[dia]]&amp;"|"&amp;tblAsignaciones[[#This Row],[tecnico]]</f>
        <v/>
      </c>
      <c r="N270" s="3">
        <f>_xlfn.XLOOKUP(tblAsignaciones[[#This Row],[turno]],tblTurnos[turno],tblTurnos[hora_inicio],"")</f>
        <v/>
      </c>
      <c r="O270" s="3">
        <f>_xlfn.XLOOKUP(tblAsignaciones[[#This Row],[turno]],tblTurnos[turno],tblTurnos[hora_fin],"")</f>
        <v/>
      </c>
    </row>
    <row r="271">
      <c r="A271" s="3" t="inlineStr">
        <is>
          <t>2026-S31</t>
        </is>
      </c>
      <c r="B271" s="3" t="inlineStr">
        <is>
          <t>martes</t>
        </is>
      </c>
      <c r="C271" s="3" t="inlineStr">
        <is>
          <t>Técnico 07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3">
        <f>COUNTIFS(tblTecnicos[rotativo],"SI",tblTecnicos[especialidad],tblAsignaciones[[#This Row],[especialidad]],tblTecnicos[area],tblAsignaciones[[#This Row],[area]])</f>
        <v/>
      </c>
      <c r="G2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6" t="n"/>
      <c r="I271" s="3">
        <f>IF(tblAsignaciones[[#This Row],[turno_manual]]&lt;&gt;"",tblAsignaciones[[#This Row],[turno_manual]],IF(LEFT(tblAsignaciones[[#This Row],[posicion_ciclo]],1)="B","B",tblAsignaciones[[#This Row],[posicion_ciclo]]))</f>
        <v/>
      </c>
      <c r="J271" s="3">
        <f>_xlfn.XLOOKUP(tblAsignaciones[[#This Row],[tecnico]],tblTecnicos[nombre],tblTecnicos[coordinador],"")</f>
        <v/>
      </c>
      <c r="K2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1" s="3">
        <f>tblAsignaciones[[#This Row],[semana]]&amp;"|"&amp;tblAsignaciones[[#This Row],[dia]]&amp;"|"&amp;tblAsignaciones[[#This Row],[tecnico]]</f>
        <v/>
      </c>
      <c r="N271" s="3">
        <f>_xlfn.XLOOKUP(tblAsignaciones[[#This Row],[turno]],tblTurnos[turno],tblTurnos[hora_inicio],"")</f>
        <v/>
      </c>
      <c r="O271" s="3">
        <f>_xlfn.XLOOKUP(tblAsignaciones[[#This Row],[turno]],tblTurnos[turno],tblTurnos[hora_fin],"")</f>
        <v/>
      </c>
    </row>
    <row r="272">
      <c r="A272" s="3" t="inlineStr">
        <is>
          <t>2026-S31</t>
        </is>
      </c>
      <c r="B272" s="3" t="inlineStr">
        <is>
          <t>miércoles</t>
        </is>
      </c>
      <c r="C272" s="3" t="inlineStr">
        <is>
          <t>Técnico 07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3">
        <f>COUNTIFS(tblTecnicos[rotativo],"SI",tblTecnicos[especialidad],tblAsignaciones[[#This Row],[especialidad]],tblTecnicos[area],tblAsignaciones[[#This Row],[area]])</f>
        <v/>
      </c>
      <c r="G2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6" t="n"/>
      <c r="I272" s="3">
        <f>IF(tblAsignaciones[[#This Row],[turno_manual]]&lt;&gt;"",tblAsignaciones[[#This Row],[turno_manual]],IF(LEFT(tblAsignaciones[[#This Row],[posicion_ciclo]],1)="B","B",tblAsignaciones[[#This Row],[posicion_ciclo]]))</f>
        <v/>
      </c>
      <c r="J272" s="3">
        <f>_xlfn.XLOOKUP(tblAsignaciones[[#This Row],[tecnico]],tblTecnicos[nombre],tblTecnicos[coordinador],"")</f>
        <v/>
      </c>
      <c r="K2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2" s="3">
        <f>tblAsignaciones[[#This Row],[semana]]&amp;"|"&amp;tblAsignaciones[[#This Row],[dia]]&amp;"|"&amp;tblAsignaciones[[#This Row],[tecnico]]</f>
        <v/>
      </c>
      <c r="N272" s="3">
        <f>_xlfn.XLOOKUP(tblAsignaciones[[#This Row],[turno]],tblTurnos[turno],tblTurnos[hora_inicio],"")</f>
        <v/>
      </c>
      <c r="O272" s="3">
        <f>_xlfn.XLOOKUP(tblAsignaciones[[#This Row],[turno]],tblTurnos[turno],tblTurnos[hora_fin],"")</f>
        <v/>
      </c>
    </row>
    <row r="273">
      <c r="A273" s="3" t="inlineStr">
        <is>
          <t>2026-S31</t>
        </is>
      </c>
      <c r="B273" s="3" t="inlineStr">
        <is>
          <t>jueves</t>
        </is>
      </c>
      <c r="C273" s="3" t="inlineStr">
        <is>
          <t>Técnico 07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3">
        <f>COUNTIFS(tblTecnicos[rotativo],"SI",tblTecnicos[especialidad],tblAsignaciones[[#This Row],[especialidad]],tblTecnicos[area],tblAsignaciones[[#This Row],[area]])</f>
        <v/>
      </c>
      <c r="G2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6" t="n"/>
      <c r="I273" s="3">
        <f>IF(tblAsignaciones[[#This Row],[turno_manual]]&lt;&gt;"",tblAsignaciones[[#This Row],[turno_manual]],IF(LEFT(tblAsignaciones[[#This Row],[posicion_ciclo]],1)="B","B",tblAsignaciones[[#This Row],[posicion_ciclo]]))</f>
        <v/>
      </c>
      <c r="J273" s="3">
        <f>_xlfn.XLOOKUP(tblAsignaciones[[#This Row],[tecnico]],tblTecnicos[nombre],tblTecnicos[coordinador],"")</f>
        <v/>
      </c>
      <c r="K2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3" s="3">
        <f>tblAsignaciones[[#This Row],[semana]]&amp;"|"&amp;tblAsignaciones[[#This Row],[dia]]&amp;"|"&amp;tblAsignaciones[[#This Row],[tecnico]]</f>
        <v/>
      </c>
      <c r="N273" s="3">
        <f>_xlfn.XLOOKUP(tblAsignaciones[[#This Row],[turno]],tblTurnos[turno],tblTurnos[hora_inicio],"")</f>
        <v/>
      </c>
      <c r="O273" s="3">
        <f>_xlfn.XLOOKUP(tblAsignaciones[[#This Row],[turno]],tblTurnos[turno],tblTurnos[hora_fin],"")</f>
        <v/>
      </c>
    </row>
    <row r="274">
      <c r="A274" s="3" t="inlineStr">
        <is>
          <t>2026-S31</t>
        </is>
      </c>
      <c r="B274" s="3" t="inlineStr">
        <is>
          <t>viernes</t>
        </is>
      </c>
      <c r="C274" s="3" t="inlineStr">
        <is>
          <t>Técnico 07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3">
        <f>COUNTIFS(tblTecnicos[rotativo],"SI",tblTecnicos[especialidad],tblAsignaciones[[#This Row],[especialidad]],tblTecnicos[area],tblAsignaciones[[#This Row],[area]])</f>
        <v/>
      </c>
      <c r="G2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6" t="n"/>
      <c r="I274" s="3">
        <f>IF(tblAsignaciones[[#This Row],[turno_manual]]&lt;&gt;"",tblAsignaciones[[#This Row],[turno_manual]],IF(LEFT(tblAsignaciones[[#This Row],[posicion_ciclo]],1)="B","B",tblAsignaciones[[#This Row],[posicion_ciclo]]))</f>
        <v/>
      </c>
      <c r="J274" s="3">
        <f>_xlfn.XLOOKUP(tblAsignaciones[[#This Row],[tecnico]],tblTecnicos[nombre],tblTecnicos[coordinador],"")</f>
        <v/>
      </c>
      <c r="K2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4" s="3">
        <f>tblAsignaciones[[#This Row],[semana]]&amp;"|"&amp;tblAsignaciones[[#This Row],[dia]]&amp;"|"&amp;tblAsignaciones[[#This Row],[tecnico]]</f>
        <v/>
      </c>
      <c r="N274" s="3">
        <f>_xlfn.XLOOKUP(tblAsignaciones[[#This Row],[turno]],tblTurnos[turno],tblTurnos[hora_inicio],"")</f>
        <v/>
      </c>
      <c r="O274" s="3">
        <f>_xlfn.XLOOKUP(tblAsignaciones[[#This Row],[turno]],tblTurnos[turno],tblTurnos[hora_fin],"")</f>
        <v/>
      </c>
    </row>
    <row r="275">
      <c r="A275" s="3" t="inlineStr">
        <is>
          <t>2026-S31</t>
        </is>
      </c>
      <c r="B275" s="3" t="inlineStr">
        <is>
          <t>sábado</t>
        </is>
      </c>
      <c r="C275" s="3" t="inlineStr">
        <is>
          <t>Técnico 07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3">
        <f>COUNTIFS(tblTecnicos[rotativo],"SI",tblTecnicos[especialidad],tblAsignaciones[[#This Row],[especialidad]],tblTecnicos[area],tblAsignaciones[[#This Row],[area]])</f>
        <v/>
      </c>
      <c r="G2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6" t="n"/>
      <c r="I275" s="3">
        <f>IF(tblAsignaciones[[#This Row],[turno_manual]]&lt;&gt;"",tblAsignaciones[[#This Row],[turno_manual]],IF(LEFT(tblAsignaciones[[#This Row],[posicion_ciclo]],1)="B","B",tblAsignaciones[[#This Row],[posicion_ciclo]]))</f>
        <v/>
      </c>
      <c r="J275" s="3">
        <f>_xlfn.XLOOKUP(tblAsignaciones[[#This Row],[tecnico]],tblTecnicos[nombre],tblTecnicos[coordinador],"")</f>
        <v/>
      </c>
      <c r="K2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5" s="3">
        <f>tblAsignaciones[[#This Row],[semana]]&amp;"|"&amp;tblAsignaciones[[#This Row],[dia]]&amp;"|"&amp;tblAsignaciones[[#This Row],[tecnico]]</f>
        <v/>
      </c>
      <c r="N275" s="3">
        <f>_xlfn.XLOOKUP(tblAsignaciones[[#This Row],[turno]],tblTurnos[turno],tblTurnos[hora_inicio],"")</f>
        <v/>
      </c>
      <c r="O275" s="3">
        <f>_xlfn.XLOOKUP(tblAsignaciones[[#This Row],[turno]],tblTurnos[turno],tblTurnos[hora_fin],"")</f>
        <v/>
      </c>
    </row>
    <row r="276">
      <c r="A276" s="3" t="inlineStr">
        <is>
          <t>2026-S31</t>
        </is>
      </c>
      <c r="B276" s="3" t="inlineStr">
        <is>
          <t>domingo</t>
        </is>
      </c>
      <c r="C276" s="3" t="inlineStr">
        <is>
          <t>Técnico 07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3">
        <f>COUNTIFS(tblTecnicos[rotativo],"SI",tblTecnicos[especialidad],tblAsignaciones[[#This Row],[especialidad]],tblTecnicos[area],tblAsignaciones[[#This Row],[area]])</f>
        <v/>
      </c>
      <c r="G2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6" t="n"/>
      <c r="I276" s="3">
        <f>IF(tblAsignaciones[[#This Row],[turno_manual]]&lt;&gt;"",tblAsignaciones[[#This Row],[turno_manual]],IF(LEFT(tblAsignaciones[[#This Row],[posicion_ciclo]],1)="B","B",tblAsignaciones[[#This Row],[posicion_ciclo]]))</f>
        <v/>
      </c>
      <c r="J276" s="3">
        <f>_xlfn.XLOOKUP(tblAsignaciones[[#This Row],[tecnico]],tblTecnicos[nombre],tblTecnicos[coordinador],"")</f>
        <v/>
      </c>
      <c r="K2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6" s="3">
        <f>tblAsignaciones[[#This Row],[semana]]&amp;"|"&amp;tblAsignaciones[[#This Row],[dia]]&amp;"|"&amp;tblAsignaciones[[#This Row],[tecnico]]</f>
        <v/>
      </c>
      <c r="N276" s="3">
        <f>_xlfn.XLOOKUP(tblAsignaciones[[#This Row],[turno]],tblTurnos[turno],tblTurnos[hora_inicio],"")</f>
        <v/>
      </c>
      <c r="O276" s="3">
        <f>_xlfn.XLOOKUP(tblAsignaciones[[#This Row],[turno]],tblTurnos[turno],tblTurnos[hora_fin],"")</f>
        <v/>
      </c>
    </row>
    <row r="277">
      <c r="A277" s="3" t="inlineStr">
        <is>
          <t>2026-S31</t>
        </is>
      </c>
      <c r="B277" s="3" t="inlineStr">
        <is>
          <t>lunes</t>
        </is>
      </c>
      <c r="C277" s="3" t="inlineStr">
        <is>
          <t>Técnico 08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3">
        <f>COUNTIFS(tblTecnicos[rotativo],"SI",tblTecnicos[especialidad],tblAsignaciones[[#This Row],[especialidad]],tblTecnicos[area],tblAsignaciones[[#This Row],[area]])</f>
        <v/>
      </c>
      <c r="G2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6" t="n"/>
      <c r="I277" s="3">
        <f>IF(tblAsignaciones[[#This Row],[turno_manual]]&lt;&gt;"",tblAsignaciones[[#This Row],[turno_manual]],IF(LEFT(tblAsignaciones[[#This Row],[posicion_ciclo]],1)="B","B",tblAsignaciones[[#This Row],[posicion_ciclo]]))</f>
        <v/>
      </c>
      <c r="J277" s="3">
        <f>_xlfn.XLOOKUP(tblAsignaciones[[#This Row],[tecnico]],tblTecnicos[nombre],tblTecnicos[coordinador],"")</f>
        <v/>
      </c>
      <c r="K2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7" s="3">
        <f>tblAsignaciones[[#This Row],[semana]]&amp;"|"&amp;tblAsignaciones[[#This Row],[dia]]&amp;"|"&amp;tblAsignaciones[[#This Row],[tecnico]]</f>
        <v/>
      </c>
      <c r="N277" s="3">
        <f>_xlfn.XLOOKUP(tblAsignaciones[[#This Row],[turno]],tblTurnos[turno],tblTurnos[hora_inicio],"")</f>
        <v/>
      </c>
      <c r="O277" s="3">
        <f>_xlfn.XLOOKUP(tblAsignaciones[[#This Row],[turno]],tblTurnos[turno],tblTurnos[hora_fin],"")</f>
        <v/>
      </c>
    </row>
    <row r="278">
      <c r="A278" s="3" t="inlineStr">
        <is>
          <t>2026-S31</t>
        </is>
      </c>
      <c r="B278" s="3" t="inlineStr">
        <is>
          <t>martes</t>
        </is>
      </c>
      <c r="C278" s="3" t="inlineStr">
        <is>
          <t>Técnico 08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3">
        <f>COUNTIFS(tblTecnicos[rotativo],"SI",tblTecnicos[especialidad],tblAsignaciones[[#This Row],[especialidad]],tblTecnicos[area],tblAsignaciones[[#This Row],[area]])</f>
        <v/>
      </c>
      <c r="G2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6" t="n"/>
      <c r="I278" s="3">
        <f>IF(tblAsignaciones[[#This Row],[turno_manual]]&lt;&gt;"",tblAsignaciones[[#This Row],[turno_manual]],IF(LEFT(tblAsignaciones[[#This Row],[posicion_ciclo]],1)="B","B",tblAsignaciones[[#This Row],[posicion_ciclo]]))</f>
        <v/>
      </c>
      <c r="J278" s="3">
        <f>_xlfn.XLOOKUP(tblAsignaciones[[#This Row],[tecnico]],tblTecnicos[nombre],tblTecnicos[coordinador],"")</f>
        <v/>
      </c>
      <c r="K2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8" s="3">
        <f>tblAsignaciones[[#This Row],[semana]]&amp;"|"&amp;tblAsignaciones[[#This Row],[dia]]&amp;"|"&amp;tblAsignaciones[[#This Row],[tecnico]]</f>
        <v/>
      </c>
      <c r="N278" s="3">
        <f>_xlfn.XLOOKUP(tblAsignaciones[[#This Row],[turno]],tblTurnos[turno],tblTurnos[hora_inicio],"")</f>
        <v/>
      </c>
      <c r="O278" s="3">
        <f>_xlfn.XLOOKUP(tblAsignaciones[[#This Row],[turno]],tblTurnos[turno],tblTurnos[hora_fin],"")</f>
        <v/>
      </c>
    </row>
    <row r="279">
      <c r="A279" s="3" t="inlineStr">
        <is>
          <t>2026-S31</t>
        </is>
      </c>
      <c r="B279" s="3" t="inlineStr">
        <is>
          <t>miércoles</t>
        </is>
      </c>
      <c r="C279" s="3" t="inlineStr">
        <is>
          <t>Técnico 08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3">
        <f>COUNTIFS(tblTecnicos[rotativo],"SI",tblTecnicos[especialidad],tblAsignaciones[[#This Row],[especialidad]],tblTecnicos[area],tblAsignaciones[[#This Row],[area]])</f>
        <v/>
      </c>
      <c r="G2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6" t="n"/>
      <c r="I279" s="3">
        <f>IF(tblAsignaciones[[#This Row],[turno_manual]]&lt;&gt;"",tblAsignaciones[[#This Row],[turno_manual]],IF(LEFT(tblAsignaciones[[#This Row],[posicion_ciclo]],1)="B","B",tblAsignaciones[[#This Row],[posicion_ciclo]]))</f>
        <v/>
      </c>
      <c r="J279" s="3">
        <f>_xlfn.XLOOKUP(tblAsignaciones[[#This Row],[tecnico]],tblTecnicos[nombre],tblTecnicos[coordinador],"")</f>
        <v/>
      </c>
      <c r="K2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79" s="3">
        <f>tblAsignaciones[[#This Row],[semana]]&amp;"|"&amp;tblAsignaciones[[#This Row],[dia]]&amp;"|"&amp;tblAsignaciones[[#This Row],[tecnico]]</f>
        <v/>
      </c>
      <c r="N279" s="3">
        <f>_xlfn.XLOOKUP(tblAsignaciones[[#This Row],[turno]],tblTurnos[turno],tblTurnos[hora_inicio],"")</f>
        <v/>
      </c>
      <c r="O279" s="3">
        <f>_xlfn.XLOOKUP(tblAsignaciones[[#This Row],[turno]],tblTurnos[turno],tblTurnos[hora_fin],"")</f>
        <v/>
      </c>
    </row>
    <row r="280">
      <c r="A280" s="3" t="inlineStr">
        <is>
          <t>2026-S31</t>
        </is>
      </c>
      <c r="B280" s="3" t="inlineStr">
        <is>
          <t>jueves</t>
        </is>
      </c>
      <c r="C280" s="3" t="inlineStr">
        <is>
          <t>Técnico 08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3">
        <f>COUNTIFS(tblTecnicos[rotativo],"SI",tblTecnicos[especialidad],tblAsignaciones[[#This Row],[especialidad]],tblTecnicos[area],tblAsignaciones[[#This Row],[area]])</f>
        <v/>
      </c>
      <c r="G2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6" t="n"/>
      <c r="I280" s="3">
        <f>IF(tblAsignaciones[[#This Row],[turno_manual]]&lt;&gt;"",tblAsignaciones[[#This Row],[turno_manual]],IF(LEFT(tblAsignaciones[[#This Row],[posicion_ciclo]],1)="B","B",tblAsignaciones[[#This Row],[posicion_ciclo]]))</f>
        <v/>
      </c>
      <c r="J280" s="3">
        <f>_xlfn.XLOOKUP(tblAsignaciones[[#This Row],[tecnico]],tblTecnicos[nombre],tblTecnicos[coordinador],"")</f>
        <v/>
      </c>
      <c r="K2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0" s="3">
        <f>tblAsignaciones[[#This Row],[semana]]&amp;"|"&amp;tblAsignaciones[[#This Row],[dia]]&amp;"|"&amp;tblAsignaciones[[#This Row],[tecnico]]</f>
        <v/>
      </c>
      <c r="N280" s="3">
        <f>_xlfn.XLOOKUP(tblAsignaciones[[#This Row],[turno]],tblTurnos[turno],tblTurnos[hora_inicio],"")</f>
        <v/>
      </c>
      <c r="O280" s="3">
        <f>_xlfn.XLOOKUP(tblAsignaciones[[#This Row],[turno]],tblTurnos[turno],tblTurnos[hora_fin],"")</f>
        <v/>
      </c>
    </row>
    <row r="281">
      <c r="A281" s="3" t="inlineStr">
        <is>
          <t>2026-S31</t>
        </is>
      </c>
      <c r="B281" s="3" t="inlineStr">
        <is>
          <t>viernes</t>
        </is>
      </c>
      <c r="C281" s="3" t="inlineStr">
        <is>
          <t>Técnico 08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3">
        <f>COUNTIFS(tblTecnicos[rotativo],"SI",tblTecnicos[especialidad],tblAsignaciones[[#This Row],[especialidad]],tblTecnicos[area],tblAsignaciones[[#This Row],[area]])</f>
        <v/>
      </c>
      <c r="G2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6" t="n"/>
      <c r="I281" s="3">
        <f>IF(tblAsignaciones[[#This Row],[turno_manual]]&lt;&gt;"",tblAsignaciones[[#This Row],[turno_manual]],IF(LEFT(tblAsignaciones[[#This Row],[posicion_ciclo]],1)="B","B",tblAsignaciones[[#This Row],[posicion_ciclo]]))</f>
        <v/>
      </c>
      <c r="J281" s="3">
        <f>_xlfn.XLOOKUP(tblAsignaciones[[#This Row],[tecnico]],tblTecnicos[nombre],tblTecnicos[coordinador],"")</f>
        <v/>
      </c>
      <c r="K2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1" s="3">
        <f>tblAsignaciones[[#This Row],[semana]]&amp;"|"&amp;tblAsignaciones[[#This Row],[dia]]&amp;"|"&amp;tblAsignaciones[[#This Row],[tecnico]]</f>
        <v/>
      </c>
      <c r="N281" s="3">
        <f>_xlfn.XLOOKUP(tblAsignaciones[[#This Row],[turno]],tblTurnos[turno],tblTurnos[hora_inicio],"")</f>
        <v/>
      </c>
      <c r="O281" s="3">
        <f>_xlfn.XLOOKUP(tblAsignaciones[[#This Row],[turno]],tblTurnos[turno],tblTurnos[hora_fin],"")</f>
        <v/>
      </c>
    </row>
    <row r="282">
      <c r="A282" s="3" t="inlineStr">
        <is>
          <t>2026-S31</t>
        </is>
      </c>
      <c r="B282" s="3" t="inlineStr">
        <is>
          <t>sábado</t>
        </is>
      </c>
      <c r="C282" s="3" t="inlineStr">
        <is>
          <t>Técnico 08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3">
        <f>COUNTIFS(tblTecnicos[rotativo],"SI",tblTecnicos[especialidad],tblAsignaciones[[#This Row],[especialidad]],tblTecnicos[area],tblAsignaciones[[#This Row],[area]])</f>
        <v/>
      </c>
      <c r="G2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6" t="n"/>
      <c r="I282" s="3">
        <f>IF(tblAsignaciones[[#This Row],[turno_manual]]&lt;&gt;"",tblAsignaciones[[#This Row],[turno_manual]],IF(LEFT(tblAsignaciones[[#This Row],[posicion_ciclo]],1)="B","B",tblAsignaciones[[#This Row],[posicion_ciclo]]))</f>
        <v/>
      </c>
      <c r="J282" s="3">
        <f>_xlfn.XLOOKUP(tblAsignaciones[[#This Row],[tecnico]],tblTecnicos[nombre],tblTecnicos[coordinador],"")</f>
        <v/>
      </c>
      <c r="K2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2" s="3">
        <f>tblAsignaciones[[#This Row],[semana]]&amp;"|"&amp;tblAsignaciones[[#This Row],[dia]]&amp;"|"&amp;tblAsignaciones[[#This Row],[tecnico]]</f>
        <v/>
      </c>
      <c r="N282" s="3">
        <f>_xlfn.XLOOKUP(tblAsignaciones[[#This Row],[turno]],tblTurnos[turno],tblTurnos[hora_inicio],"")</f>
        <v/>
      </c>
      <c r="O282" s="3">
        <f>_xlfn.XLOOKUP(tblAsignaciones[[#This Row],[turno]],tblTurnos[turno],tblTurnos[hora_fin],"")</f>
        <v/>
      </c>
    </row>
    <row r="283">
      <c r="A283" s="3" t="inlineStr">
        <is>
          <t>2026-S31</t>
        </is>
      </c>
      <c r="B283" s="3" t="inlineStr">
        <is>
          <t>domingo</t>
        </is>
      </c>
      <c r="C283" s="3" t="inlineStr">
        <is>
          <t>Técnico 08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3">
        <f>COUNTIFS(tblTecnicos[rotativo],"SI",tblTecnicos[especialidad],tblAsignaciones[[#This Row],[especialidad]],tblTecnicos[area],tblAsignaciones[[#This Row],[area]])</f>
        <v/>
      </c>
      <c r="G2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6" t="n"/>
      <c r="I283" s="3">
        <f>IF(tblAsignaciones[[#This Row],[turno_manual]]&lt;&gt;"",tblAsignaciones[[#This Row],[turno_manual]],IF(LEFT(tblAsignaciones[[#This Row],[posicion_ciclo]],1)="B","B",tblAsignaciones[[#This Row],[posicion_ciclo]]))</f>
        <v/>
      </c>
      <c r="J283" s="3">
        <f>_xlfn.XLOOKUP(tblAsignaciones[[#This Row],[tecnico]],tblTecnicos[nombre],tblTecnicos[coordinador],"")</f>
        <v/>
      </c>
      <c r="K2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3" s="3">
        <f>tblAsignaciones[[#This Row],[semana]]&amp;"|"&amp;tblAsignaciones[[#This Row],[dia]]&amp;"|"&amp;tblAsignaciones[[#This Row],[tecnico]]</f>
        <v/>
      </c>
      <c r="N283" s="3">
        <f>_xlfn.XLOOKUP(tblAsignaciones[[#This Row],[turno]],tblTurnos[turno],tblTurnos[hora_inicio],"")</f>
        <v/>
      </c>
      <c r="O283" s="3">
        <f>_xlfn.XLOOKUP(tblAsignaciones[[#This Row],[turno]],tblTurnos[turno],tblTurnos[hora_fin],"")</f>
        <v/>
      </c>
    </row>
    <row r="284">
      <c r="A284" s="3" t="inlineStr">
        <is>
          <t>2026-S31</t>
        </is>
      </c>
      <c r="B284" s="3" t="inlineStr">
        <is>
          <t>lunes</t>
        </is>
      </c>
      <c r="C284" s="3" t="inlineStr">
        <is>
          <t>Técnico 09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3">
        <f>COUNTIFS(tblTecnicos[rotativo],"SI",tblTecnicos[especialidad],tblAsignaciones[[#This Row],[especialidad]],tblTecnicos[area],tblAsignaciones[[#This Row],[area]])</f>
        <v/>
      </c>
      <c r="G2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6" t="n"/>
      <c r="I284" s="3">
        <f>IF(tblAsignaciones[[#This Row],[turno_manual]]&lt;&gt;"",tblAsignaciones[[#This Row],[turno_manual]],IF(LEFT(tblAsignaciones[[#This Row],[posicion_ciclo]],1)="B","B",tblAsignaciones[[#This Row],[posicion_ciclo]]))</f>
        <v/>
      </c>
      <c r="J284" s="3">
        <f>_xlfn.XLOOKUP(tblAsignaciones[[#This Row],[tecnico]],tblTecnicos[nombre],tblTecnicos[coordinador],"")</f>
        <v/>
      </c>
      <c r="K2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4" s="3">
        <f>tblAsignaciones[[#This Row],[semana]]&amp;"|"&amp;tblAsignaciones[[#This Row],[dia]]&amp;"|"&amp;tblAsignaciones[[#This Row],[tecnico]]</f>
        <v/>
      </c>
      <c r="N284" s="3">
        <f>_xlfn.XLOOKUP(tblAsignaciones[[#This Row],[turno]],tblTurnos[turno],tblTurnos[hora_inicio],"")</f>
        <v/>
      </c>
      <c r="O284" s="3">
        <f>_xlfn.XLOOKUP(tblAsignaciones[[#This Row],[turno]],tblTurnos[turno],tblTurnos[hora_fin],"")</f>
        <v/>
      </c>
    </row>
    <row r="285">
      <c r="A285" s="3" t="inlineStr">
        <is>
          <t>2026-S31</t>
        </is>
      </c>
      <c r="B285" s="3" t="inlineStr">
        <is>
          <t>martes</t>
        </is>
      </c>
      <c r="C285" s="3" t="inlineStr">
        <is>
          <t>Técnico 09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3">
        <f>COUNTIFS(tblTecnicos[rotativo],"SI",tblTecnicos[especialidad],tblAsignaciones[[#This Row],[especialidad]],tblTecnicos[area],tblAsignaciones[[#This Row],[area]])</f>
        <v/>
      </c>
      <c r="G2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6" t="n"/>
      <c r="I285" s="3">
        <f>IF(tblAsignaciones[[#This Row],[turno_manual]]&lt;&gt;"",tblAsignaciones[[#This Row],[turno_manual]],IF(LEFT(tblAsignaciones[[#This Row],[posicion_ciclo]],1)="B","B",tblAsignaciones[[#This Row],[posicion_ciclo]]))</f>
        <v/>
      </c>
      <c r="J285" s="3">
        <f>_xlfn.XLOOKUP(tblAsignaciones[[#This Row],[tecnico]],tblTecnicos[nombre],tblTecnicos[coordinador],"")</f>
        <v/>
      </c>
      <c r="K2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5" s="3">
        <f>tblAsignaciones[[#This Row],[semana]]&amp;"|"&amp;tblAsignaciones[[#This Row],[dia]]&amp;"|"&amp;tblAsignaciones[[#This Row],[tecnico]]</f>
        <v/>
      </c>
      <c r="N285" s="3">
        <f>_xlfn.XLOOKUP(tblAsignaciones[[#This Row],[turno]],tblTurnos[turno],tblTurnos[hora_inicio],"")</f>
        <v/>
      </c>
      <c r="O285" s="3">
        <f>_xlfn.XLOOKUP(tblAsignaciones[[#This Row],[turno]],tblTurnos[turno],tblTurnos[hora_fin],"")</f>
        <v/>
      </c>
    </row>
    <row r="286">
      <c r="A286" s="3" t="inlineStr">
        <is>
          <t>2026-S31</t>
        </is>
      </c>
      <c r="B286" s="3" t="inlineStr">
        <is>
          <t>miércoles</t>
        </is>
      </c>
      <c r="C286" s="3" t="inlineStr">
        <is>
          <t>Técnico 09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3">
        <f>COUNTIFS(tblTecnicos[rotativo],"SI",tblTecnicos[especialidad],tblAsignaciones[[#This Row],[especialidad]],tblTecnicos[area],tblAsignaciones[[#This Row],[area]])</f>
        <v/>
      </c>
      <c r="G2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6" t="n"/>
      <c r="I286" s="3">
        <f>IF(tblAsignaciones[[#This Row],[turno_manual]]&lt;&gt;"",tblAsignaciones[[#This Row],[turno_manual]],IF(LEFT(tblAsignaciones[[#This Row],[posicion_ciclo]],1)="B","B",tblAsignaciones[[#This Row],[posicion_ciclo]]))</f>
        <v/>
      </c>
      <c r="J286" s="3">
        <f>_xlfn.XLOOKUP(tblAsignaciones[[#This Row],[tecnico]],tblTecnicos[nombre],tblTecnicos[coordinador],"")</f>
        <v/>
      </c>
      <c r="K2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6" s="3">
        <f>tblAsignaciones[[#This Row],[semana]]&amp;"|"&amp;tblAsignaciones[[#This Row],[dia]]&amp;"|"&amp;tblAsignaciones[[#This Row],[tecnico]]</f>
        <v/>
      </c>
      <c r="N286" s="3">
        <f>_xlfn.XLOOKUP(tblAsignaciones[[#This Row],[turno]],tblTurnos[turno],tblTurnos[hora_inicio],"")</f>
        <v/>
      </c>
      <c r="O286" s="3">
        <f>_xlfn.XLOOKUP(tblAsignaciones[[#This Row],[turno]],tblTurnos[turno],tblTurnos[hora_fin],"")</f>
        <v/>
      </c>
    </row>
    <row r="287">
      <c r="A287" s="3" t="inlineStr">
        <is>
          <t>2026-S31</t>
        </is>
      </c>
      <c r="B287" s="3" t="inlineStr">
        <is>
          <t>jueves</t>
        </is>
      </c>
      <c r="C287" s="3" t="inlineStr">
        <is>
          <t>Técnico 09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3">
        <f>COUNTIFS(tblTecnicos[rotativo],"SI",tblTecnicos[especialidad],tblAsignaciones[[#This Row],[especialidad]],tblTecnicos[area],tblAsignaciones[[#This Row],[area]])</f>
        <v/>
      </c>
      <c r="G2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6" t="n"/>
      <c r="I287" s="3">
        <f>IF(tblAsignaciones[[#This Row],[turno_manual]]&lt;&gt;"",tblAsignaciones[[#This Row],[turno_manual]],IF(LEFT(tblAsignaciones[[#This Row],[posicion_ciclo]],1)="B","B",tblAsignaciones[[#This Row],[posicion_ciclo]]))</f>
        <v/>
      </c>
      <c r="J287" s="3">
        <f>_xlfn.XLOOKUP(tblAsignaciones[[#This Row],[tecnico]],tblTecnicos[nombre],tblTecnicos[coordinador],"")</f>
        <v/>
      </c>
      <c r="K2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7" s="3">
        <f>tblAsignaciones[[#This Row],[semana]]&amp;"|"&amp;tblAsignaciones[[#This Row],[dia]]&amp;"|"&amp;tblAsignaciones[[#This Row],[tecnico]]</f>
        <v/>
      </c>
      <c r="N287" s="3">
        <f>_xlfn.XLOOKUP(tblAsignaciones[[#This Row],[turno]],tblTurnos[turno],tblTurnos[hora_inicio],"")</f>
        <v/>
      </c>
      <c r="O287" s="3">
        <f>_xlfn.XLOOKUP(tblAsignaciones[[#This Row],[turno]],tblTurnos[turno],tblTurnos[hora_fin],"")</f>
        <v/>
      </c>
    </row>
    <row r="288">
      <c r="A288" s="3" t="inlineStr">
        <is>
          <t>2026-S31</t>
        </is>
      </c>
      <c r="B288" s="3" t="inlineStr">
        <is>
          <t>viernes</t>
        </is>
      </c>
      <c r="C288" s="3" t="inlineStr">
        <is>
          <t>Técnico 09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3">
        <f>COUNTIFS(tblTecnicos[rotativo],"SI",tblTecnicos[especialidad],tblAsignaciones[[#This Row],[especialidad]],tblTecnicos[area],tblAsignaciones[[#This Row],[area]])</f>
        <v/>
      </c>
      <c r="G2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6" t="n"/>
      <c r="I288" s="3">
        <f>IF(tblAsignaciones[[#This Row],[turno_manual]]&lt;&gt;"",tblAsignaciones[[#This Row],[turno_manual]],IF(LEFT(tblAsignaciones[[#This Row],[posicion_ciclo]],1)="B","B",tblAsignaciones[[#This Row],[posicion_ciclo]]))</f>
        <v/>
      </c>
      <c r="J288" s="3">
        <f>_xlfn.XLOOKUP(tblAsignaciones[[#This Row],[tecnico]],tblTecnicos[nombre],tblTecnicos[coordinador],"")</f>
        <v/>
      </c>
      <c r="K2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8" s="3">
        <f>tblAsignaciones[[#This Row],[semana]]&amp;"|"&amp;tblAsignaciones[[#This Row],[dia]]&amp;"|"&amp;tblAsignaciones[[#This Row],[tecnico]]</f>
        <v/>
      </c>
      <c r="N288" s="3">
        <f>_xlfn.XLOOKUP(tblAsignaciones[[#This Row],[turno]],tblTurnos[turno],tblTurnos[hora_inicio],"")</f>
        <v/>
      </c>
      <c r="O288" s="3">
        <f>_xlfn.XLOOKUP(tblAsignaciones[[#This Row],[turno]],tblTurnos[turno],tblTurnos[hora_fin],"")</f>
        <v/>
      </c>
    </row>
    <row r="289">
      <c r="A289" s="3" t="inlineStr">
        <is>
          <t>2026-S31</t>
        </is>
      </c>
      <c r="B289" s="3" t="inlineStr">
        <is>
          <t>sábado</t>
        </is>
      </c>
      <c r="C289" s="3" t="inlineStr">
        <is>
          <t>Técnico 09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3">
        <f>COUNTIFS(tblTecnicos[rotativo],"SI",tblTecnicos[especialidad],tblAsignaciones[[#This Row],[especialidad]],tblTecnicos[area],tblAsignaciones[[#This Row],[area]])</f>
        <v/>
      </c>
      <c r="G2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6" t="n"/>
      <c r="I289" s="3">
        <f>IF(tblAsignaciones[[#This Row],[turno_manual]]&lt;&gt;"",tblAsignaciones[[#This Row],[turno_manual]],IF(LEFT(tblAsignaciones[[#This Row],[posicion_ciclo]],1)="B","B",tblAsignaciones[[#This Row],[posicion_ciclo]]))</f>
        <v/>
      </c>
      <c r="J289" s="3">
        <f>_xlfn.XLOOKUP(tblAsignaciones[[#This Row],[tecnico]],tblTecnicos[nombre],tblTecnicos[coordinador],"")</f>
        <v/>
      </c>
      <c r="K2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89" s="3">
        <f>tblAsignaciones[[#This Row],[semana]]&amp;"|"&amp;tblAsignaciones[[#This Row],[dia]]&amp;"|"&amp;tblAsignaciones[[#This Row],[tecnico]]</f>
        <v/>
      </c>
      <c r="N289" s="3">
        <f>_xlfn.XLOOKUP(tblAsignaciones[[#This Row],[turno]],tblTurnos[turno],tblTurnos[hora_inicio],"")</f>
        <v/>
      </c>
      <c r="O289" s="3">
        <f>_xlfn.XLOOKUP(tblAsignaciones[[#This Row],[turno]],tblTurnos[turno],tblTurnos[hora_fin],"")</f>
        <v/>
      </c>
    </row>
    <row r="290">
      <c r="A290" s="3" t="inlineStr">
        <is>
          <t>2026-S31</t>
        </is>
      </c>
      <c r="B290" s="3" t="inlineStr">
        <is>
          <t>domingo</t>
        </is>
      </c>
      <c r="C290" s="3" t="inlineStr">
        <is>
          <t>Técnico 09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3">
        <f>COUNTIFS(tblTecnicos[rotativo],"SI",tblTecnicos[especialidad],tblAsignaciones[[#This Row],[especialidad]],tblTecnicos[area],tblAsignaciones[[#This Row],[area]])</f>
        <v/>
      </c>
      <c r="G2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6" t="n"/>
      <c r="I290" s="3">
        <f>IF(tblAsignaciones[[#This Row],[turno_manual]]&lt;&gt;"",tblAsignaciones[[#This Row],[turno_manual]],IF(LEFT(tblAsignaciones[[#This Row],[posicion_ciclo]],1)="B","B",tblAsignaciones[[#This Row],[posicion_ciclo]]))</f>
        <v/>
      </c>
      <c r="J290" s="3">
        <f>_xlfn.XLOOKUP(tblAsignaciones[[#This Row],[tecnico]],tblTecnicos[nombre],tblTecnicos[coordinador],"")</f>
        <v/>
      </c>
      <c r="K2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0" s="3">
        <f>tblAsignaciones[[#This Row],[semana]]&amp;"|"&amp;tblAsignaciones[[#This Row],[dia]]&amp;"|"&amp;tblAsignaciones[[#This Row],[tecnico]]</f>
        <v/>
      </c>
      <c r="N290" s="3">
        <f>_xlfn.XLOOKUP(tblAsignaciones[[#This Row],[turno]],tblTurnos[turno],tblTurnos[hora_inicio],"")</f>
        <v/>
      </c>
      <c r="O290" s="3">
        <f>_xlfn.XLOOKUP(tblAsignaciones[[#This Row],[turno]],tblTurnos[turno],tblTurnos[hora_fin],"")</f>
        <v/>
      </c>
    </row>
    <row r="291">
      <c r="A291" s="3" t="inlineStr">
        <is>
          <t>2026-S31</t>
        </is>
      </c>
      <c r="B291" s="3" t="inlineStr">
        <is>
          <t>lunes</t>
        </is>
      </c>
      <c r="C291" s="3" t="inlineStr">
        <is>
          <t>Técnico 10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3">
        <f>COUNTIFS(tblTecnicos[rotativo],"SI",tblTecnicos[especialidad],tblAsignaciones[[#This Row],[especialidad]],tblTecnicos[area],tblAsignaciones[[#This Row],[area]])</f>
        <v/>
      </c>
      <c r="G2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6" t="n"/>
      <c r="I291" s="3">
        <f>IF(tblAsignaciones[[#This Row],[turno_manual]]&lt;&gt;"",tblAsignaciones[[#This Row],[turno_manual]],IF(LEFT(tblAsignaciones[[#This Row],[posicion_ciclo]],1)="B","B",tblAsignaciones[[#This Row],[posicion_ciclo]]))</f>
        <v/>
      </c>
      <c r="J291" s="3">
        <f>_xlfn.XLOOKUP(tblAsignaciones[[#This Row],[tecnico]],tblTecnicos[nombre],tblTecnicos[coordinador],"")</f>
        <v/>
      </c>
      <c r="K2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1" s="3">
        <f>tblAsignaciones[[#This Row],[semana]]&amp;"|"&amp;tblAsignaciones[[#This Row],[dia]]&amp;"|"&amp;tblAsignaciones[[#This Row],[tecnico]]</f>
        <v/>
      </c>
      <c r="N291" s="3">
        <f>_xlfn.XLOOKUP(tblAsignaciones[[#This Row],[turno]],tblTurnos[turno],tblTurnos[hora_inicio],"")</f>
        <v/>
      </c>
      <c r="O291" s="3">
        <f>_xlfn.XLOOKUP(tblAsignaciones[[#This Row],[turno]],tblTurnos[turno],tblTurnos[hora_fin],"")</f>
        <v/>
      </c>
    </row>
    <row r="292">
      <c r="A292" s="3" t="inlineStr">
        <is>
          <t>2026-S31</t>
        </is>
      </c>
      <c r="B292" s="3" t="inlineStr">
        <is>
          <t>martes</t>
        </is>
      </c>
      <c r="C292" s="3" t="inlineStr">
        <is>
          <t>Técnico 10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3">
        <f>COUNTIFS(tblTecnicos[rotativo],"SI",tblTecnicos[especialidad],tblAsignaciones[[#This Row],[especialidad]],tblTecnicos[area],tblAsignaciones[[#This Row],[area]])</f>
        <v/>
      </c>
      <c r="G2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6" t="n"/>
      <c r="I292" s="3">
        <f>IF(tblAsignaciones[[#This Row],[turno_manual]]&lt;&gt;"",tblAsignaciones[[#This Row],[turno_manual]],IF(LEFT(tblAsignaciones[[#This Row],[posicion_ciclo]],1)="B","B",tblAsignaciones[[#This Row],[posicion_ciclo]]))</f>
        <v/>
      </c>
      <c r="J292" s="3">
        <f>_xlfn.XLOOKUP(tblAsignaciones[[#This Row],[tecnico]],tblTecnicos[nombre],tblTecnicos[coordinador],"")</f>
        <v/>
      </c>
      <c r="K2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2" s="3">
        <f>tblAsignaciones[[#This Row],[semana]]&amp;"|"&amp;tblAsignaciones[[#This Row],[dia]]&amp;"|"&amp;tblAsignaciones[[#This Row],[tecnico]]</f>
        <v/>
      </c>
      <c r="N292" s="3">
        <f>_xlfn.XLOOKUP(tblAsignaciones[[#This Row],[turno]],tblTurnos[turno],tblTurnos[hora_inicio],"")</f>
        <v/>
      </c>
      <c r="O292" s="3">
        <f>_xlfn.XLOOKUP(tblAsignaciones[[#This Row],[turno]],tblTurnos[turno],tblTurnos[hora_fin],"")</f>
        <v/>
      </c>
    </row>
    <row r="293">
      <c r="A293" s="3" t="inlineStr">
        <is>
          <t>2026-S31</t>
        </is>
      </c>
      <c r="B293" s="3" t="inlineStr">
        <is>
          <t>miércoles</t>
        </is>
      </c>
      <c r="C293" s="3" t="inlineStr">
        <is>
          <t>Técnico 10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3">
        <f>COUNTIFS(tblTecnicos[rotativo],"SI",tblTecnicos[especialidad],tblAsignaciones[[#This Row],[especialidad]],tblTecnicos[area],tblAsignaciones[[#This Row],[area]])</f>
        <v/>
      </c>
      <c r="G2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6" t="n"/>
      <c r="I293" s="3">
        <f>IF(tblAsignaciones[[#This Row],[turno_manual]]&lt;&gt;"",tblAsignaciones[[#This Row],[turno_manual]],IF(LEFT(tblAsignaciones[[#This Row],[posicion_ciclo]],1)="B","B",tblAsignaciones[[#This Row],[posicion_ciclo]]))</f>
        <v/>
      </c>
      <c r="J293" s="3">
        <f>_xlfn.XLOOKUP(tblAsignaciones[[#This Row],[tecnico]],tblTecnicos[nombre],tblTecnicos[coordinador],"")</f>
        <v/>
      </c>
      <c r="K2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3" s="3">
        <f>tblAsignaciones[[#This Row],[semana]]&amp;"|"&amp;tblAsignaciones[[#This Row],[dia]]&amp;"|"&amp;tblAsignaciones[[#This Row],[tecnico]]</f>
        <v/>
      </c>
      <c r="N293" s="3">
        <f>_xlfn.XLOOKUP(tblAsignaciones[[#This Row],[turno]],tblTurnos[turno],tblTurnos[hora_inicio],"")</f>
        <v/>
      </c>
      <c r="O293" s="3">
        <f>_xlfn.XLOOKUP(tblAsignaciones[[#This Row],[turno]],tblTurnos[turno],tblTurnos[hora_fin],"")</f>
        <v/>
      </c>
    </row>
    <row r="294">
      <c r="A294" s="3" t="inlineStr">
        <is>
          <t>2026-S31</t>
        </is>
      </c>
      <c r="B294" s="3" t="inlineStr">
        <is>
          <t>jueves</t>
        </is>
      </c>
      <c r="C294" s="3" t="inlineStr">
        <is>
          <t>Técnico 10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3">
        <f>COUNTIFS(tblTecnicos[rotativo],"SI",tblTecnicos[especialidad],tblAsignaciones[[#This Row],[especialidad]],tblTecnicos[area],tblAsignaciones[[#This Row],[area]])</f>
        <v/>
      </c>
      <c r="G2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6" t="n"/>
      <c r="I294" s="3">
        <f>IF(tblAsignaciones[[#This Row],[turno_manual]]&lt;&gt;"",tblAsignaciones[[#This Row],[turno_manual]],IF(LEFT(tblAsignaciones[[#This Row],[posicion_ciclo]],1)="B","B",tblAsignaciones[[#This Row],[posicion_ciclo]]))</f>
        <v/>
      </c>
      <c r="J294" s="3">
        <f>_xlfn.XLOOKUP(tblAsignaciones[[#This Row],[tecnico]],tblTecnicos[nombre],tblTecnicos[coordinador],"")</f>
        <v/>
      </c>
      <c r="K2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4" s="3">
        <f>tblAsignaciones[[#This Row],[semana]]&amp;"|"&amp;tblAsignaciones[[#This Row],[dia]]&amp;"|"&amp;tblAsignaciones[[#This Row],[tecnico]]</f>
        <v/>
      </c>
      <c r="N294" s="3">
        <f>_xlfn.XLOOKUP(tblAsignaciones[[#This Row],[turno]],tblTurnos[turno],tblTurnos[hora_inicio],"")</f>
        <v/>
      </c>
      <c r="O294" s="3">
        <f>_xlfn.XLOOKUP(tblAsignaciones[[#This Row],[turno]],tblTurnos[turno],tblTurnos[hora_fin],"")</f>
        <v/>
      </c>
    </row>
    <row r="295">
      <c r="A295" s="3" t="inlineStr">
        <is>
          <t>2026-S31</t>
        </is>
      </c>
      <c r="B295" s="3" t="inlineStr">
        <is>
          <t>viernes</t>
        </is>
      </c>
      <c r="C295" s="3" t="inlineStr">
        <is>
          <t>Técnico 10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3">
        <f>COUNTIFS(tblTecnicos[rotativo],"SI",tblTecnicos[especialidad],tblAsignaciones[[#This Row],[especialidad]],tblTecnicos[area],tblAsignaciones[[#This Row],[area]])</f>
        <v/>
      </c>
      <c r="G2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6" t="n"/>
      <c r="I295" s="3">
        <f>IF(tblAsignaciones[[#This Row],[turno_manual]]&lt;&gt;"",tblAsignaciones[[#This Row],[turno_manual]],IF(LEFT(tblAsignaciones[[#This Row],[posicion_ciclo]],1)="B","B",tblAsignaciones[[#This Row],[posicion_ciclo]]))</f>
        <v/>
      </c>
      <c r="J295" s="3">
        <f>_xlfn.XLOOKUP(tblAsignaciones[[#This Row],[tecnico]],tblTecnicos[nombre],tblTecnicos[coordinador],"")</f>
        <v/>
      </c>
      <c r="K2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5" s="3">
        <f>tblAsignaciones[[#This Row],[semana]]&amp;"|"&amp;tblAsignaciones[[#This Row],[dia]]&amp;"|"&amp;tblAsignaciones[[#This Row],[tecnico]]</f>
        <v/>
      </c>
      <c r="N295" s="3">
        <f>_xlfn.XLOOKUP(tblAsignaciones[[#This Row],[turno]],tblTurnos[turno],tblTurnos[hora_inicio],"")</f>
        <v/>
      </c>
      <c r="O295" s="3">
        <f>_xlfn.XLOOKUP(tblAsignaciones[[#This Row],[turno]],tblTurnos[turno],tblTurnos[hora_fin],"")</f>
        <v/>
      </c>
    </row>
    <row r="296">
      <c r="A296" s="3" t="inlineStr">
        <is>
          <t>2026-S31</t>
        </is>
      </c>
      <c r="B296" s="3" t="inlineStr">
        <is>
          <t>sábado</t>
        </is>
      </c>
      <c r="C296" s="3" t="inlineStr">
        <is>
          <t>Técnico 10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3">
        <f>COUNTIFS(tblTecnicos[rotativo],"SI",tblTecnicos[especialidad],tblAsignaciones[[#This Row],[especialidad]],tblTecnicos[area],tblAsignaciones[[#This Row],[area]])</f>
        <v/>
      </c>
      <c r="G2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6" t="n"/>
      <c r="I296" s="3">
        <f>IF(tblAsignaciones[[#This Row],[turno_manual]]&lt;&gt;"",tblAsignaciones[[#This Row],[turno_manual]],IF(LEFT(tblAsignaciones[[#This Row],[posicion_ciclo]],1)="B","B",tblAsignaciones[[#This Row],[posicion_ciclo]]))</f>
        <v/>
      </c>
      <c r="J296" s="3">
        <f>_xlfn.XLOOKUP(tblAsignaciones[[#This Row],[tecnico]],tblTecnicos[nombre],tblTecnicos[coordinador],"")</f>
        <v/>
      </c>
      <c r="K2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6" s="3">
        <f>tblAsignaciones[[#This Row],[semana]]&amp;"|"&amp;tblAsignaciones[[#This Row],[dia]]&amp;"|"&amp;tblAsignaciones[[#This Row],[tecnico]]</f>
        <v/>
      </c>
      <c r="N296" s="3">
        <f>_xlfn.XLOOKUP(tblAsignaciones[[#This Row],[turno]],tblTurnos[turno],tblTurnos[hora_inicio],"")</f>
        <v/>
      </c>
      <c r="O296" s="3">
        <f>_xlfn.XLOOKUP(tblAsignaciones[[#This Row],[turno]],tblTurnos[turno],tblTurnos[hora_fin],"")</f>
        <v/>
      </c>
    </row>
    <row r="297">
      <c r="A297" s="3" t="inlineStr">
        <is>
          <t>2026-S31</t>
        </is>
      </c>
      <c r="B297" s="3" t="inlineStr">
        <is>
          <t>domingo</t>
        </is>
      </c>
      <c r="C297" s="3" t="inlineStr">
        <is>
          <t>Técnico 10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3">
        <f>COUNTIFS(tblTecnicos[rotativo],"SI",tblTecnicos[especialidad],tblAsignaciones[[#This Row],[especialidad]],tblTecnicos[area],tblAsignaciones[[#This Row],[area]])</f>
        <v/>
      </c>
      <c r="G2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6" t="n"/>
      <c r="I297" s="3">
        <f>IF(tblAsignaciones[[#This Row],[turno_manual]]&lt;&gt;"",tblAsignaciones[[#This Row],[turno_manual]],IF(LEFT(tblAsignaciones[[#This Row],[posicion_ciclo]],1)="B","B",tblAsignaciones[[#This Row],[posicion_ciclo]]))</f>
        <v/>
      </c>
      <c r="J297" s="3">
        <f>_xlfn.XLOOKUP(tblAsignaciones[[#This Row],[tecnico]],tblTecnicos[nombre],tblTecnicos[coordinador],"")</f>
        <v/>
      </c>
      <c r="K2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7" s="3">
        <f>tblAsignaciones[[#This Row],[semana]]&amp;"|"&amp;tblAsignaciones[[#This Row],[dia]]&amp;"|"&amp;tblAsignaciones[[#This Row],[tecnico]]</f>
        <v/>
      </c>
      <c r="N297" s="3">
        <f>_xlfn.XLOOKUP(tblAsignaciones[[#This Row],[turno]],tblTurnos[turno],tblTurnos[hora_inicio],"")</f>
        <v/>
      </c>
      <c r="O297" s="3">
        <f>_xlfn.XLOOKUP(tblAsignaciones[[#This Row],[turno]],tblTurnos[turno],tblTurnos[hora_fin],"")</f>
        <v/>
      </c>
    </row>
    <row r="298">
      <c r="A298" s="3" t="inlineStr">
        <is>
          <t>2026-S31</t>
        </is>
      </c>
      <c r="B298" s="3" t="inlineStr">
        <is>
          <t>lunes</t>
        </is>
      </c>
      <c r="C298" s="3" t="inlineStr">
        <is>
          <t>Técnico 11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3">
        <f>COUNTIFS(tblTecnicos[rotativo],"SI",tblTecnicos[especialidad],tblAsignaciones[[#This Row],[especialidad]],tblTecnicos[area],tblAsignaciones[[#This Row],[area]])</f>
        <v/>
      </c>
      <c r="G2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6" t="n"/>
      <c r="I298" s="3">
        <f>IF(tblAsignaciones[[#This Row],[turno_manual]]&lt;&gt;"",tblAsignaciones[[#This Row],[turno_manual]],IF(LEFT(tblAsignaciones[[#This Row],[posicion_ciclo]],1)="B","B",tblAsignaciones[[#This Row],[posicion_ciclo]]))</f>
        <v/>
      </c>
      <c r="J298" s="3">
        <f>_xlfn.XLOOKUP(tblAsignaciones[[#This Row],[tecnico]],tblTecnicos[nombre],tblTecnicos[coordinador],"")</f>
        <v/>
      </c>
      <c r="K2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8" s="3">
        <f>tblAsignaciones[[#This Row],[semana]]&amp;"|"&amp;tblAsignaciones[[#This Row],[dia]]&amp;"|"&amp;tblAsignaciones[[#This Row],[tecnico]]</f>
        <v/>
      </c>
      <c r="N298" s="3">
        <f>_xlfn.XLOOKUP(tblAsignaciones[[#This Row],[turno]],tblTurnos[turno],tblTurnos[hora_inicio],"")</f>
        <v/>
      </c>
      <c r="O298" s="3">
        <f>_xlfn.XLOOKUP(tblAsignaciones[[#This Row],[turno]],tblTurnos[turno],tblTurnos[hora_fin],"")</f>
        <v/>
      </c>
    </row>
    <row r="299">
      <c r="A299" s="3" t="inlineStr">
        <is>
          <t>2026-S31</t>
        </is>
      </c>
      <c r="B299" s="3" t="inlineStr">
        <is>
          <t>martes</t>
        </is>
      </c>
      <c r="C299" s="3" t="inlineStr">
        <is>
          <t>Técnico 11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3">
        <f>COUNTIFS(tblTecnicos[rotativo],"SI",tblTecnicos[especialidad],tblAsignaciones[[#This Row],[especialidad]],tblTecnicos[area],tblAsignaciones[[#This Row],[area]])</f>
        <v/>
      </c>
      <c r="G2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6" t="n"/>
      <c r="I299" s="3">
        <f>IF(tblAsignaciones[[#This Row],[turno_manual]]&lt;&gt;"",tblAsignaciones[[#This Row],[turno_manual]],IF(LEFT(tblAsignaciones[[#This Row],[posicion_ciclo]],1)="B","B",tblAsignaciones[[#This Row],[posicion_ciclo]]))</f>
        <v/>
      </c>
      <c r="J299" s="3">
        <f>_xlfn.XLOOKUP(tblAsignaciones[[#This Row],[tecnico]],tblTecnicos[nombre],tblTecnicos[coordinador],"")</f>
        <v/>
      </c>
      <c r="K2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299" s="3">
        <f>tblAsignaciones[[#This Row],[semana]]&amp;"|"&amp;tblAsignaciones[[#This Row],[dia]]&amp;"|"&amp;tblAsignaciones[[#This Row],[tecnico]]</f>
        <v/>
      </c>
      <c r="N299" s="3">
        <f>_xlfn.XLOOKUP(tblAsignaciones[[#This Row],[turno]],tblTurnos[turno],tblTurnos[hora_inicio],"")</f>
        <v/>
      </c>
      <c r="O299" s="3">
        <f>_xlfn.XLOOKUP(tblAsignaciones[[#This Row],[turno]],tblTurnos[turno],tblTurnos[hora_fin],"")</f>
        <v/>
      </c>
    </row>
    <row r="300">
      <c r="A300" s="3" t="inlineStr">
        <is>
          <t>2026-S31</t>
        </is>
      </c>
      <c r="B300" s="3" t="inlineStr">
        <is>
          <t>miércoles</t>
        </is>
      </c>
      <c r="C300" s="3" t="inlineStr">
        <is>
          <t>Técnico 11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3">
        <f>COUNTIFS(tblTecnicos[rotativo],"SI",tblTecnicos[especialidad],tblAsignaciones[[#This Row],[especialidad]],tblTecnicos[area],tblAsignaciones[[#This Row],[area]])</f>
        <v/>
      </c>
      <c r="G3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6" t="n"/>
      <c r="I300" s="3">
        <f>IF(tblAsignaciones[[#This Row],[turno_manual]]&lt;&gt;"",tblAsignaciones[[#This Row],[turno_manual]],IF(LEFT(tblAsignaciones[[#This Row],[posicion_ciclo]],1)="B","B",tblAsignaciones[[#This Row],[posicion_ciclo]]))</f>
        <v/>
      </c>
      <c r="J300" s="3">
        <f>_xlfn.XLOOKUP(tblAsignaciones[[#This Row],[tecnico]],tblTecnicos[nombre],tblTecnicos[coordinador],"")</f>
        <v/>
      </c>
      <c r="K3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0" s="3">
        <f>tblAsignaciones[[#This Row],[semana]]&amp;"|"&amp;tblAsignaciones[[#This Row],[dia]]&amp;"|"&amp;tblAsignaciones[[#This Row],[tecnico]]</f>
        <v/>
      </c>
      <c r="N300" s="3">
        <f>_xlfn.XLOOKUP(tblAsignaciones[[#This Row],[turno]],tblTurnos[turno],tblTurnos[hora_inicio],"")</f>
        <v/>
      </c>
      <c r="O300" s="3">
        <f>_xlfn.XLOOKUP(tblAsignaciones[[#This Row],[turno]],tblTurnos[turno],tblTurnos[hora_fin],"")</f>
        <v/>
      </c>
    </row>
    <row r="301">
      <c r="A301" s="3" t="inlineStr">
        <is>
          <t>2026-S31</t>
        </is>
      </c>
      <c r="B301" s="3" t="inlineStr">
        <is>
          <t>jueves</t>
        </is>
      </c>
      <c r="C301" s="3" t="inlineStr">
        <is>
          <t>Técnico 11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3">
        <f>COUNTIFS(tblTecnicos[rotativo],"SI",tblTecnicos[especialidad],tblAsignaciones[[#This Row],[especialidad]],tblTecnicos[area],tblAsignaciones[[#This Row],[area]])</f>
        <v/>
      </c>
      <c r="G3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6" t="n"/>
      <c r="I301" s="3">
        <f>IF(tblAsignaciones[[#This Row],[turno_manual]]&lt;&gt;"",tblAsignaciones[[#This Row],[turno_manual]],IF(LEFT(tblAsignaciones[[#This Row],[posicion_ciclo]],1)="B","B",tblAsignaciones[[#This Row],[posicion_ciclo]]))</f>
        <v/>
      </c>
      <c r="J301" s="3">
        <f>_xlfn.XLOOKUP(tblAsignaciones[[#This Row],[tecnico]],tblTecnicos[nombre],tblTecnicos[coordinador],"")</f>
        <v/>
      </c>
      <c r="K3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1" s="3">
        <f>tblAsignaciones[[#This Row],[semana]]&amp;"|"&amp;tblAsignaciones[[#This Row],[dia]]&amp;"|"&amp;tblAsignaciones[[#This Row],[tecnico]]</f>
        <v/>
      </c>
      <c r="N301" s="3">
        <f>_xlfn.XLOOKUP(tblAsignaciones[[#This Row],[turno]],tblTurnos[turno],tblTurnos[hora_inicio],"")</f>
        <v/>
      </c>
      <c r="O301" s="3">
        <f>_xlfn.XLOOKUP(tblAsignaciones[[#This Row],[turno]],tblTurnos[turno],tblTurnos[hora_fin],"")</f>
        <v/>
      </c>
    </row>
    <row r="302">
      <c r="A302" s="3" t="inlineStr">
        <is>
          <t>2026-S31</t>
        </is>
      </c>
      <c r="B302" s="3" t="inlineStr">
        <is>
          <t>viernes</t>
        </is>
      </c>
      <c r="C302" s="3" t="inlineStr">
        <is>
          <t>Técnico 11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3">
        <f>COUNTIFS(tblTecnicos[rotativo],"SI",tblTecnicos[especialidad],tblAsignaciones[[#This Row],[especialidad]],tblTecnicos[area],tblAsignaciones[[#This Row],[area]])</f>
        <v/>
      </c>
      <c r="G3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6" t="n"/>
      <c r="I302" s="3">
        <f>IF(tblAsignaciones[[#This Row],[turno_manual]]&lt;&gt;"",tblAsignaciones[[#This Row],[turno_manual]],IF(LEFT(tblAsignaciones[[#This Row],[posicion_ciclo]],1)="B","B",tblAsignaciones[[#This Row],[posicion_ciclo]]))</f>
        <v/>
      </c>
      <c r="J302" s="3">
        <f>_xlfn.XLOOKUP(tblAsignaciones[[#This Row],[tecnico]],tblTecnicos[nombre],tblTecnicos[coordinador],"")</f>
        <v/>
      </c>
      <c r="K3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2" s="3">
        <f>tblAsignaciones[[#This Row],[semana]]&amp;"|"&amp;tblAsignaciones[[#This Row],[dia]]&amp;"|"&amp;tblAsignaciones[[#This Row],[tecnico]]</f>
        <v/>
      </c>
      <c r="N302" s="3">
        <f>_xlfn.XLOOKUP(tblAsignaciones[[#This Row],[turno]],tblTurnos[turno],tblTurnos[hora_inicio],"")</f>
        <v/>
      </c>
      <c r="O302" s="3">
        <f>_xlfn.XLOOKUP(tblAsignaciones[[#This Row],[turno]],tblTurnos[turno],tblTurnos[hora_fin],"")</f>
        <v/>
      </c>
    </row>
    <row r="303">
      <c r="A303" s="3" t="inlineStr">
        <is>
          <t>2026-S31</t>
        </is>
      </c>
      <c r="B303" s="3" t="inlineStr">
        <is>
          <t>sábado</t>
        </is>
      </c>
      <c r="C303" s="3" t="inlineStr">
        <is>
          <t>Técnico 11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3">
        <f>COUNTIFS(tblTecnicos[rotativo],"SI",tblTecnicos[especialidad],tblAsignaciones[[#This Row],[especialidad]],tblTecnicos[area],tblAsignaciones[[#This Row],[area]])</f>
        <v/>
      </c>
      <c r="G3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6" t="n"/>
      <c r="I303" s="3">
        <f>IF(tblAsignaciones[[#This Row],[turno_manual]]&lt;&gt;"",tblAsignaciones[[#This Row],[turno_manual]],IF(LEFT(tblAsignaciones[[#This Row],[posicion_ciclo]],1)="B","B",tblAsignaciones[[#This Row],[posicion_ciclo]]))</f>
        <v/>
      </c>
      <c r="J303" s="3">
        <f>_xlfn.XLOOKUP(tblAsignaciones[[#This Row],[tecnico]],tblTecnicos[nombre],tblTecnicos[coordinador],"")</f>
        <v/>
      </c>
      <c r="K3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3" s="3">
        <f>tblAsignaciones[[#This Row],[semana]]&amp;"|"&amp;tblAsignaciones[[#This Row],[dia]]&amp;"|"&amp;tblAsignaciones[[#This Row],[tecnico]]</f>
        <v/>
      </c>
      <c r="N303" s="3">
        <f>_xlfn.XLOOKUP(tblAsignaciones[[#This Row],[turno]],tblTurnos[turno],tblTurnos[hora_inicio],"")</f>
        <v/>
      </c>
      <c r="O303" s="3">
        <f>_xlfn.XLOOKUP(tblAsignaciones[[#This Row],[turno]],tblTurnos[turno],tblTurnos[hora_fin],"")</f>
        <v/>
      </c>
    </row>
    <row r="304">
      <c r="A304" s="3" t="inlineStr">
        <is>
          <t>2026-S31</t>
        </is>
      </c>
      <c r="B304" s="3" t="inlineStr">
        <is>
          <t>domingo</t>
        </is>
      </c>
      <c r="C304" s="3" t="inlineStr">
        <is>
          <t>Técnico 11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3">
        <f>COUNTIFS(tblTecnicos[rotativo],"SI",tblTecnicos[especialidad],tblAsignaciones[[#This Row],[especialidad]],tblTecnicos[area],tblAsignaciones[[#This Row],[area]])</f>
        <v/>
      </c>
      <c r="G3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6" t="n"/>
      <c r="I304" s="3">
        <f>IF(tblAsignaciones[[#This Row],[turno_manual]]&lt;&gt;"",tblAsignaciones[[#This Row],[turno_manual]],IF(LEFT(tblAsignaciones[[#This Row],[posicion_ciclo]],1)="B","B",tblAsignaciones[[#This Row],[posicion_ciclo]]))</f>
        <v/>
      </c>
      <c r="J304" s="3">
        <f>_xlfn.XLOOKUP(tblAsignaciones[[#This Row],[tecnico]],tblTecnicos[nombre],tblTecnicos[coordinador],"")</f>
        <v/>
      </c>
      <c r="K3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4" s="3">
        <f>tblAsignaciones[[#This Row],[semana]]&amp;"|"&amp;tblAsignaciones[[#This Row],[dia]]&amp;"|"&amp;tblAsignaciones[[#This Row],[tecnico]]</f>
        <v/>
      </c>
      <c r="N304" s="3">
        <f>_xlfn.XLOOKUP(tblAsignaciones[[#This Row],[turno]],tblTurnos[turno],tblTurnos[hora_inicio],"")</f>
        <v/>
      </c>
      <c r="O304" s="3">
        <f>_xlfn.XLOOKUP(tblAsignaciones[[#This Row],[turno]],tblTurnos[turno],tblTurnos[hora_fin],"")</f>
        <v/>
      </c>
    </row>
    <row r="305">
      <c r="A305" s="3" t="inlineStr">
        <is>
          <t>2026-S31</t>
        </is>
      </c>
      <c r="B305" s="3" t="inlineStr">
        <is>
          <t>lunes</t>
        </is>
      </c>
      <c r="C305" s="3" t="inlineStr">
        <is>
          <t>Técnico 12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3">
        <f>COUNTIFS(tblTecnicos[rotativo],"SI",tblTecnicos[especialidad],tblAsignaciones[[#This Row],[especialidad]],tblTecnicos[area],tblAsignaciones[[#This Row],[area]])</f>
        <v/>
      </c>
      <c r="G3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6" t="n"/>
      <c r="I305" s="3">
        <f>IF(tblAsignaciones[[#This Row],[turno_manual]]&lt;&gt;"",tblAsignaciones[[#This Row],[turno_manual]],IF(LEFT(tblAsignaciones[[#This Row],[posicion_ciclo]],1)="B","B",tblAsignaciones[[#This Row],[posicion_ciclo]]))</f>
        <v/>
      </c>
      <c r="J305" s="3">
        <f>_xlfn.XLOOKUP(tblAsignaciones[[#This Row],[tecnico]],tblTecnicos[nombre],tblTecnicos[coordinador],"")</f>
        <v/>
      </c>
      <c r="K3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5" s="3">
        <f>tblAsignaciones[[#This Row],[semana]]&amp;"|"&amp;tblAsignaciones[[#This Row],[dia]]&amp;"|"&amp;tblAsignaciones[[#This Row],[tecnico]]</f>
        <v/>
      </c>
      <c r="N305" s="3">
        <f>_xlfn.XLOOKUP(tblAsignaciones[[#This Row],[turno]],tblTurnos[turno],tblTurnos[hora_inicio],"")</f>
        <v/>
      </c>
      <c r="O305" s="3">
        <f>_xlfn.XLOOKUP(tblAsignaciones[[#This Row],[turno]],tblTurnos[turno],tblTurnos[hora_fin],"")</f>
        <v/>
      </c>
    </row>
    <row r="306">
      <c r="A306" s="3" t="inlineStr">
        <is>
          <t>2026-S31</t>
        </is>
      </c>
      <c r="B306" s="3" t="inlineStr">
        <is>
          <t>martes</t>
        </is>
      </c>
      <c r="C306" s="3" t="inlineStr">
        <is>
          <t>Técnico 12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3">
        <f>COUNTIFS(tblTecnicos[rotativo],"SI",tblTecnicos[especialidad],tblAsignaciones[[#This Row],[especialidad]],tblTecnicos[area],tblAsignaciones[[#This Row],[area]])</f>
        <v/>
      </c>
      <c r="G3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6" t="n"/>
      <c r="I306" s="3">
        <f>IF(tblAsignaciones[[#This Row],[turno_manual]]&lt;&gt;"",tblAsignaciones[[#This Row],[turno_manual]],IF(LEFT(tblAsignaciones[[#This Row],[posicion_ciclo]],1)="B","B",tblAsignaciones[[#This Row],[posicion_ciclo]]))</f>
        <v/>
      </c>
      <c r="J306" s="3">
        <f>_xlfn.XLOOKUP(tblAsignaciones[[#This Row],[tecnico]],tblTecnicos[nombre],tblTecnicos[coordinador],"")</f>
        <v/>
      </c>
      <c r="K3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6" s="3">
        <f>tblAsignaciones[[#This Row],[semana]]&amp;"|"&amp;tblAsignaciones[[#This Row],[dia]]&amp;"|"&amp;tblAsignaciones[[#This Row],[tecnico]]</f>
        <v/>
      </c>
      <c r="N306" s="3">
        <f>_xlfn.XLOOKUP(tblAsignaciones[[#This Row],[turno]],tblTurnos[turno],tblTurnos[hora_inicio],"")</f>
        <v/>
      </c>
      <c r="O306" s="3">
        <f>_xlfn.XLOOKUP(tblAsignaciones[[#This Row],[turno]],tblTurnos[turno],tblTurnos[hora_fin],"")</f>
        <v/>
      </c>
    </row>
    <row r="307">
      <c r="A307" s="3" t="inlineStr">
        <is>
          <t>2026-S31</t>
        </is>
      </c>
      <c r="B307" s="3" t="inlineStr">
        <is>
          <t>miércoles</t>
        </is>
      </c>
      <c r="C307" s="3" t="inlineStr">
        <is>
          <t>Técnico 12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3">
        <f>COUNTIFS(tblTecnicos[rotativo],"SI",tblTecnicos[especialidad],tblAsignaciones[[#This Row],[especialidad]],tblTecnicos[area],tblAsignaciones[[#This Row],[area]])</f>
        <v/>
      </c>
      <c r="G3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6" t="n"/>
      <c r="I307" s="3">
        <f>IF(tblAsignaciones[[#This Row],[turno_manual]]&lt;&gt;"",tblAsignaciones[[#This Row],[turno_manual]],IF(LEFT(tblAsignaciones[[#This Row],[posicion_ciclo]],1)="B","B",tblAsignaciones[[#This Row],[posicion_ciclo]]))</f>
        <v/>
      </c>
      <c r="J307" s="3">
        <f>_xlfn.XLOOKUP(tblAsignaciones[[#This Row],[tecnico]],tblTecnicos[nombre],tblTecnicos[coordinador],"")</f>
        <v/>
      </c>
      <c r="K3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7" s="3">
        <f>tblAsignaciones[[#This Row],[semana]]&amp;"|"&amp;tblAsignaciones[[#This Row],[dia]]&amp;"|"&amp;tblAsignaciones[[#This Row],[tecnico]]</f>
        <v/>
      </c>
      <c r="N307" s="3">
        <f>_xlfn.XLOOKUP(tblAsignaciones[[#This Row],[turno]],tblTurnos[turno],tblTurnos[hora_inicio],"")</f>
        <v/>
      </c>
      <c r="O307" s="3">
        <f>_xlfn.XLOOKUP(tblAsignaciones[[#This Row],[turno]],tblTurnos[turno],tblTurnos[hora_fin],"")</f>
        <v/>
      </c>
    </row>
    <row r="308">
      <c r="A308" s="3" t="inlineStr">
        <is>
          <t>2026-S31</t>
        </is>
      </c>
      <c r="B308" s="3" t="inlineStr">
        <is>
          <t>jueves</t>
        </is>
      </c>
      <c r="C308" s="3" t="inlineStr">
        <is>
          <t>Técnico 12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3">
        <f>COUNTIFS(tblTecnicos[rotativo],"SI",tblTecnicos[especialidad],tblAsignaciones[[#This Row],[especialidad]],tblTecnicos[area],tblAsignaciones[[#This Row],[area]])</f>
        <v/>
      </c>
      <c r="G3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6" t="n"/>
      <c r="I308" s="3">
        <f>IF(tblAsignaciones[[#This Row],[turno_manual]]&lt;&gt;"",tblAsignaciones[[#This Row],[turno_manual]],IF(LEFT(tblAsignaciones[[#This Row],[posicion_ciclo]],1)="B","B",tblAsignaciones[[#This Row],[posicion_ciclo]]))</f>
        <v/>
      </c>
      <c r="J308" s="3">
        <f>_xlfn.XLOOKUP(tblAsignaciones[[#This Row],[tecnico]],tblTecnicos[nombre],tblTecnicos[coordinador],"")</f>
        <v/>
      </c>
      <c r="K3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8" s="3">
        <f>tblAsignaciones[[#This Row],[semana]]&amp;"|"&amp;tblAsignaciones[[#This Row],[dia]]&amp;"|"&amp;tblAsignaciones[[#This Row],[tecnico]]</f>
        <v/>
      </c>
      <c r="N308" s="3">
        <f>_xlfn.XLOOKUP(tblAsignaciones[[#This Row],[turno]],tblTurnos[turno],tblTurnos[hora_inicio],"")</f>
        <v/>
      </c>
      <c r="O308" s="3">
        <f>_xlfn.XLOOKUP(tblAsignaciones[[#This Row],[turno]],tblTurnos[turno],tblTurnos[hora_fin],"")</f>
        <v/>
      </c>
    </row>
    <row r="309">
      <c r="A309" s="3" t="inlineStr">
        <is>
          <t>2026-S31</t>
        </is>
      </c>
      <c r="B309" s="3" t="inlineStr">
        <is>
          <t>viernes</t>
        </is>
      </c>
      <c r="C309" s="3" t="inlineStr">
        <is>
          <t>Técnico 12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3">
        <f>COUNTIFS(tblTecnicos[rotativo],"SI",tblTecnicos[especialidad],tblAsignaciones[[#This Row],[especialidad]],tblTecnicos[area],tblAsignaciones[[#This Row],[area]])</f>
        <v/>
      </c>
      <c r="G3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6" t="n"/>
      <c r="I309" s="3">
        <f>IF(tblAsignaciones[[#This Row],[turno_manual]]&lt;&gt;"",tblAsignaciones[[#This Row],[turno_manual]],IF(LEFT(tblAsignaciones[[#This Row],[posicion_ciclo]],1)="B","B",tblAsignaciones[[#This Row],[posicion_ciclo]]))</f>
        <v/>
      </c>
      <c r="J309" s="3">
        <f>_xlfn.XLOOKUP(tblAsignaciones[[#This Row],[tecnico]],tblTecnicos[nombre],tblTecnicos[coordinador],"")</f>
        <v/>
      </c>
      <c r="K3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09" s="3">
        <f>tblAsignaciones[[#This Row],[semana]]&amp;"|"&amp;tblAsignaciones[[#This Row],[dia]]&amp;"|"&amp;tblAsignaciones[[#This Row],[tecnico]]</f>
        <v/>
      </c>
      <c r="N309" s="3">
        <f>_xlfn.XLOOKUP(tblAsignaciones[[#This Row],[turno]],tblTurnos[turno],tblTurnos[hora_inicio],"")</f>
        <v/>
      </c>
      <c r="O309" s="3">
        <f>_xlfn.XLOOKUP(tblAsignaciones[[#This Row],[turno]],tblTurnos[turno],tblTurnos[hora_fin],"")</f>
        <v/>
      </c>
    </row>
    <row r="310">
      <c r="A310" s="3" t="inlineStr">
        <is>
          <t>2026-S31</t>
        </is>
      </c>
      <c r="B310" s="3" t="inlineStr">
        <is>
          <t>sábado</t>
        </is>
      </c>
      <c r="C310" s="3" t="inlineStr">
        <is>
          <t>Técnico 12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3">
        <f>COUNTIFS(tblTecnicos[rotativo],"SI",tblTecnicos[especialidad],tblAsignaciones[[#This Row],[especialidad]],tblTecnicos[area],tblAsignaciones[[#This Row],[area]])</f>
        <v/>
      </c>
      <c r="G3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6" t="n"/>
      <c r="I310" s="3">
        <f>IF(tblAsignaciones[[#This Row],[turno_manual]]&lt;&gt;"",tblAsignaciones[[#This Row],[turno_manual]],IF(LEFT(tblAsignaciones[[#This Row],[posicion_ciclo]],1)="B","B",tblAsignaciones[[#This Row],[posicion_ciclo]]))</f>
        <v/>
      </c>
      <c r="J310" s="3">
        <f>_xlfn.XLOOKUP(tblAsignaciones[[#This Row],[tecnico]],tblTecnicos[nombre],tblTecnicos[coordinador],"")</f>
        <v/>
      </c>
      <c r="K3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0" s="3">
        <f>tblAsignaciones[[#This Row],[semana]]&amp;"|"&amp;tblAsignaciones[[#This Row],[dia]]&amp;"|"&amp;tblAsignaciones[[#This Row],[tecnico]]</f>
        <v/>
      </c>
      <c r="N310" s="3">
        <f>_xlfn.XLOOKUP(tblAsignaciones[[#This Row],[turno]],tblTurnos[turno],tblTurnos[hora_inicio],"")</f>
        <v/>
      </c>
      <c r="O310" s="3">
        <f>_xlfn.XLOOKUP(tblAsignaciones[[#This Row],[turno]],tblTurnos[turno],tblTurnos[hora_fin],"")</f>
        <v/>
      </c>
    </row>
    <row r="311">
      <c r="A311" s="3" t="inlineStr">
        <is>
          <t>2026-S31</t>
        </is>
      </c>
      <c r="B311" s="3" t="inlineStr">
        <is>
          <t>domingo</t>
        </is>
      </c>
      <c r="C311" s="3" t="inlineStr">
        <is>
          <t>Técnico 12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3">
        <f>COUNTIFS(tblTecnicos[rotativo],"SI",tblTecnicos[especialidad],tblAsignaciones[[#This Row],[especialidad]],tblTecnicos[area],tblAsignaciones[[#This Row],[area]])</f>
        <v/>
      </c>
      <c r="G3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6" t="n"/>
      <c r="I311" s="3">
        <f>IF(tblAsignaciones[[#This Row],[turno_manual]]&lt;&gt;"",tblAsignaciones[[#This Row],[turno_manual]],IF(LEFT(tblAsignaciones[[#This Row],[posicion_ciclo]],1)="B","B",tblAsignaciones[[#This Row],[posicion_ciclo]]))</f>
        <v/>
      </c>
      <c r="J311" s="3">
        <f>_xlfn.XLOOKUP(tblAsignaciones[[#This Row],[tecnico]],tblTecnicos[nombre],tblTecnicos[coordinador],"")</f>
        <v/>
      </c>
      <c r="K3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1" s="3">
        <f>tblAsignaciones[[#This Row],[semana]]&amp;"|"&amp;tblAsignaciones[[#This Row],[dia]]&amp;"|"&amp;tblAsignaciones[[#This Row],[tecnico]]</f>
        <v/>
      </c>
      <c r="N311" s="3">
        <f>_xlfn.XLOOKUP(tblAsignaciones[[#This Row],[turno]],tblTurnos[turno],tblTurnos[hora_inicio],"")</f>
        <v/>
      </c>
      <c r="O311" s="3">
        <f>_xlfn.XLOOKUP(tblAsignaciones[[#This Row],[turno]],tblTurnos[turno],tblTurnos[hora_fin],"")</f>
        <v/>
      </c>
    </row>
    <row r="312">
      <c r="A312" s="3" t="inlineStr">
        <is>
          <t>2026-S31</t>
        </is>
      </c>
      <c r="B312" s="3" t="inlineStr">
        <is>
          <t>lunes</t>
        </is>
      </c>
      <c r="C312" s="3" t="inlineStr">
        <is>
          <t>Técnico 13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3">
        <f>COUNTIFS(tblTecnicos[rotativo],"SI",tblTecnicos[especialidad],tblAsignaciones[[#This Row],[especialidad]],tblTecnicos[area],tblAsignaciones[[#This Row],[area]])</f>
        <v/>
      </c>
      <c r="G3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6" t="n"/>
      <c r="I312" s="3">
        <f>IF(tblAsignaciones[[#This Row],[turno_manual]]&lt;&gt;"",tblAsignaciones[[#This Row],[turno_manual]],IF(LEFT(tblAsignaciones[[#This Row],[posicion_ciclo]],1)="B","B",tblAsignaciones[[#This Row],[posicion_ciclo]]))</f>
        <v/>
      </c>
      <c r="J312" s="3">
        <f>_xlfn.XLOOKUP(tblAsignaciones[[#This Row],[tecnico]],tblTecnicos[nombre],tblTecnicos[coordinador],"")</f>
        <v/>
      </c>
      <c r="K3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2" s="3">
        <f>tblAsignaciones[[#This Row],[semana]]&amp;"|"&amp;tblAsignaciones[[#This Row],[dia]]&amp;"|"&amp;tblAsignaciones[[#This Row],[tecnico]]</f>
        <v/>
      </c>
      <c r="N312" s="3">
        <f>_xlfn.XLOOKUP(tblAsignaciones[[#This Row],[turno]],tblTurnos[turno],tblTurnos[hora_inicio],"")</f>
        <v/>
      </c>
      <c r="O312" s="3">
        <f>_xlfn.XLOOKUP(tblAsignaciones[[#This Row],[turno]],tblTurnos[turno],tblTurnos[hora_fin],"")</f>
        <v/>
      </c>
    </row>
    <row r="313">
      <c r="A313" s="3" t="inlineStr">
        <is>
          <t>2026-S31</t>
        </is>
      </c>
      <c r="B313" s="3" t="inlineStr">
        <is>
          <t>martes</t>
        </is>
      </c>
      <c r="C313" s="3" t="inlineStr">
        <is>
          <t>Técnico 13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3">
        <f>COUNTIFS(tblTecnicos[rotativo],"SI",tblTecnicos[especialidad],tblAsignaciones[[#This Row],[especialidad]],tblTecnicos[area],tblAsignaciones[[#This Row],[area]])</f>
        <v/>
      </c>
      <c r="G3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6" t="n"/>
      <c r="I313" s="3">
        <f>IF(tblAsignaciones[[#This Row],[turno_manual]]&lt;&gt;"",tblAsignaciones[[#This Row],[turno_manual]],IF(LEFT(tblAsignaciones[[#This Row],[posicion_ciclo]],1)="B","B",tblAsignaciones[[#This Row],[posicion_ciclo]]))</f>
        <v/>
      </c>
      <c r="J313" s="3">
        <f>_xlfn.XLOOKUP(tblAsignaciones[[#This Row],[tecnico]],tblTecnicos[nombre],tblTecnicos[coordinador],"")</f>
        <v/>
      </c>
      <c r="K3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3" s="3">
        <f>tblAsignaciones[[#This Row],[semana]]&amp;"|"&amp;tblAsignaciones[[#This Row],[dia]]&amp;"|"&amp;tblAsignaciones[[#This Row],[tecnico]]</f>
        <v/>
      </c>
      <c r="N313" s="3">
        <f>_xlfn.XLOOKUP(tblAsignaciones[[#This Row],[turno]],tblTurnos[turno],tblTurnos[hora_inicio],"")</f>
        <v/>
      </c>
      <c r="O313" s="3">
        <f>_xlfn.XLOOKUP(tblAsignaciones[[#This Row],[turno]],tblTurnos[turno],tblTurnos[hora_fin],"")</f>
        <v/>
      </c>
    </row>
    <row r="314">
      <c r="A314" s="3" t="inlineStr">
        <is>
          <t>2026-S31</t>
        </is>
      </c>
      <c r="B314" s="3" t="inlineStr">
        <is>
          <t>miércoles</t>
        </is>
      </c>
      <c r="C314" s="3" t="inlineStr">
        <is>
          <t>Técnico 13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3">
        <f>COUNTIFS(tblTecnicos[rotativo],"SI",tblTecnicos[especialidad],tblAsignaciones[[#This Row],[especialidad]],tblTecnicos[area],tblAsignaciones[[#This Row],[area]])</f>
        <v/>
      </c>
      <c r="G3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6" t="n"/>
      <c r="I314" s="3">
        <f>IF(tblAsignaciones[[#This Row],[turno_manual]]&lt;&gt;"",tblAsignaciones[[#This Row],[turno_manual]],IF(LEFT(tblAsignaciones[[#This Row],[posicion_ciclo]],1)="B","B",tblAsignaciones[[#This Row],[posicion_ciclo]]))</f>
        <v/>
      </c>
      <c r="J314" s="3">
        <f>_xlfn.XLOOKUP(tblAsignaciones[[#This Row],[tecnico]],tblTecnicos[nombre],tblTecnicos[coordinador],"")</f>
        <v/>
      </c>
      <c r="K3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4" s="3">
        <f>tblAsignaciones[[#This Row],[semana]]&amp;"|"&amp;tblAsignaciones[[#This Row],[dia]]&amp;"|"&amp;tblAsignaciones[[#This Row],[tecnico]]</f>
        <v/>
      </c>
      <c r="N314" s="3">
        <f>_xlfn.XLOOKUP(tblAsignaciones[[#This Row],[turno]],tblTurnos[turno],tblTurnos[hora_inicio],"")</f>
        <v/>
      </c>
      <c r="O314" s="3">
        <f>_xlfn.XLOOKUP(tblAsignaciones[[#This Row],[turno]],tblTurnos[turno],tblTurnos[hora_fin],"")</f>
        <v/>
      </c>
    </row>
    <row r="315">
      <c r="A315" s="3" t="inlineStr">
        <is>
          <t>2026-S31</t>
        </is>
      </c>
      <c r="B315" s="3" t="inlineStr">
        <is>
          <t>jueves</t>
        </is>
      </c>
      <c r="C315" s="3" t="inlineStr">
        <is>
          <t>Técnico 13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3">
        <f>COUNTIFS(tblTecnicos[rotativo],"SI",tblTecnicos[especialidad],tblAsignaciones[[#This Row],[especialidad]],tblTecnicos[area],tblAsignaciones[[#This Row],[area]])</f>
        <v/>
      </c>
      <c r="G3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6" t="n"/>
      <c r="I315" s="3">
        <f>IF(tblAsignaciones[[#This Row],[turno_manual]]&lt;&gt;"",tblAsignaciones[[#This Row],[turno_manual]],IF(LEFT(tblAsignaciones[[#This Row],[posicion_ciclo]],1)="B","B",tblAsignaciones[[#This Row],[posicion_ciclo]]))</f>
        <v/>
      </c>
      <c r="J315" s="3">
        <f>_xlfn.XLOOKUP(tblAsignaciones[[#This Row],[tecnico]],tblTecnicos[nombre],tblTecnicos[coordinador],"")</f>
        <v/>
      </c>
      <c r="K3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5" s="3">
        <f>tblAsignaciones[[#This Row],[semana]]&amp;"|"&amp;tblAsignaciones[[#This Row],[dia]]&amp;"|"&amp;tblAsignaciones[[#This Row],[tecnico]]</f>
        <v/>
      </c>
      <c r="N315" s="3">
        <f>_xlfn.XLOOKUP(tblAsignaciones[[#This Row],[turno]],tblTurnos[turno],tblTurnos[hora_inicio],"")</f>
        <v/>
      </c>
      <c r="O315" s="3">
        <f>_xlfn.XLOOKUP(tblAsignaciones[[#This Row],[turno]],tblTurnos[turno],tblTurnos[hora_fin],"")</f>
        <v/>
      </c>
    </row>
    <row r="316">
      <c r="A316" s="3" t="inlineStr">
        <is>
          <t>2026-S31</t>
        </is>
      </c>
      <c r="B316" s="3" t="inlineStr">
        <is>
          <t>viernes</t>
        </is>
      </c>
      <c r="C316" s="3" t="inlineStr">
        <is>
          <t>Técnico 13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3">
        <f>COUNTIFS(tblTecnicos[rotativo],"SI",tblTecnicos[especialidad],tblAsignaciones[[#This Row],[especialidad]],tblTecnicos[area],tblAsignaciones[[#This Row],[area]])</f>
        <v/>
      </c>
      <c r="G3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6" t="n"/>
      <c r="I316" s="3">
        <f>IF(tblAsignaciones[[#This Row],[turno_manual]]&lt;&gt;"",tblAsignaciones[[#This Row],[turno_manual]],IF(LEFT(tblAsignaciones[[#This Row],[posicion_ciclo]],1)="B","B",tblAsignaciones[[#This Row],[posicion_ciclo]]))</f>
        <v/>
      </c>
      <c r="J316" s="3">
        <f>_xlfn.XLOOKUP(tblAsignaciones[[#This Row],[tecnico]],tblTecnicos[nombre],tblTecnicos[coordinador],"")</f>
        <v/>
      </c>
      <c r="K3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6" s="3">
        <f>tblAsignaciones[[#This Row],[semana]]&amp;"|"&amp;tblAsignaciones[[#This Row],[dia]]&amp;"|"&amp;tblAsignaciones[[#This Row],[tecnico]]</f>
        <v/>
      </c>
      <c r="N316" s="3">
        <f>_xlfn.XLOOKUP(tblAsignaciones[[#This Row],[turno]],tblTurnos[turno],tblTurnos[hora_inicio],"")</f>
        <v/>
      </c>
      <c r="O316" s="3">
        <f>_xlfn.XLOOKUP(tblAsignaciones[[#This Row],[turno]],tblTurnos[turno],tblTurnos[hora_fin],"")</f>
        <v/>
      </c>
    </row>
    <row r="317">
      <c r="A317" s="3" t="inlineStr">
        <is>
          <t>2026-S31</t>
        </is>
      </c>
      <c r="B317" s="3" t="inlineStr">
        <is>
          <t>sábado</t>
        </is>
      </c>
      <c r="C317" s="3" t="inlineStr">
        <is>
          <t>Técnico 13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3">
        <f>COUNTIFS(tblTecnicos[rotativo],"SI",tblTecnicos[especialidad],tblAsignaciones[[#This Row],[especialidad]],tblTecnicos[area],tblAsignaciones[[#This Row],[area]])</f>
        <v/>
      </c>
      <c r="G3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6" t="n"/>
      <c r="I317" s="3">
        <f>IF(tblAsignaciones[[#This Row],[turno_manual]]&lt;&gt;"",tblAsignaciones[[#This Row],[turno_manual]],IF(LEFT(tblAsignaciones[[#This Row],[posicion_ciclo]],1)="B","B",tblAsignaciones[[#This Row],[posicion_ciclo]]))</f>
        <v/>
      </c>
      <c r="J317" s="3">
        <f>_xlfn.XLOOKUP(tblAsignaciones[[#This Row],[tecnico]],tblTecnicos[nombre],tblTecnicos[coordinador],"")</f>
        <v/>
      </c>
      <c r="K3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7" s="3">
        <f>tblAsignaciones[[#This Row],[semana]]&amp;"|"&amp;tblAsignaciones[[#This Row],[dia]]&amp;"|"&amp;tblAsignaciones[[#This Row],[tecnico]]</f>
        <v/>
      </c>
      <c r="N317" s="3">
        <f>_xlfn.XLOOKUP(tblAsignaciones[[#This Row],[turno]],tblTurnos[turno],tblTurnos[hora_inicio],"")</f>
        <v/>
      </c>
      <c r="O317" s="3">
        <f>_xlfn.XLOOKUP(tblAsignaciones[[#This Row],[turno]],tblTurnos[turno],tblTurnos[hora_fin],"")</f>
        <v/>
      </c>
    </row>
    <row r="318">
      <c r="A318" s="3" t="inlineStr">
        <is>
          <t>2026-S31</t>
        </is>
      </c>
      <c r="B318" s="3" t="inlineStr">
        <is>
          <t>domingo</t>
        </is>
      </c>
      <c r="C318" s="3" t="inlineStr">
        <is>
          <t>Técnico 13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3">
        <f>COUNTIFS(tblTecnicos[rotativo],"SI",tblTecnicos[especialidad],tblAsignaciones[[#This Row],[especialidad]],tblTecnicos[area],tblAsignaciones[[#This Row],[area]])</f>
        <v/>
      </c>
      <c r="G3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6" t="n"/>
      <c r="I318" s="3">
        <f>IF(tblAsignaciones[[#This Row],[turno_manual]]&lt;&gt;"",tblAsignaciones[[#This Row],[turno_manual]],IF(LEFT(tblAsignaciones[[#This Row],[posicion_ciclo]],1)="B","B",tblAsignaciones[[#This Row],[posicion_ciclo]]))</f>
        <v/>
      </c>
      <c r="J318" s="3">
        <f>_xlfn.XLOOKUP(tblAsignaciones[[#This Row],[tecnico]],tblTecnicos[nombre],tblTecnicos[coordinador],"")</f>
        <v/>
      </c>
      <c r="K3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8" s="3">
        <f>tblAsignaciones[[#This Row],[semana]]&amp;"|"&amp;tblAsignaciones[[#This Row],[dia]]&amp;"|"&amp;tblAsignaciones[[#This Row],[tecnico]]</f>
        <v/>
      </c>
      <c r="N318" s="3">
        <f>_xlfn.XLOOKUP(tblAsignaciones[[#This Row],[turno]],tblTurnos[turno],tblTurnos[hora_inicio],"")</f>
        <v/>
      </c>
      <c r="O318" s="3">
        <f>_xlfn.XLOOKUP(tblAsignaciones[[#This Row],[turno]],tblTurnos[turno],tblTurnos[hora_fin],"")</f>
        <v/>
      </c>
    </row>
    <row r="319">
      <c r="A319" s="3" t="inlineStr">
        <is>
          <t>2026-S31</t>
        </is>
      </c>
      <c r="B319" s="3" t="inlineStr">
        <is>
          <t>lunes</t>
        </is>
      </c>
      <c r="C319" s="3" t="inlineStr">
        <is>
          <t>Técnico 14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3">
        <f>COUNTIFS(tblTecnicos[rotativo],"SI",tblTecnicos[especialidad],tblAsignaciones[[#This Row],[especialidad]],tblTecnicos[area],tblAsignaciones[[#This Row],[area]])</f>
        <v/>
      </c>
      <c r="G3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6" t="n"/>
      <c r="I319" s="3">
        <f>IF(tblAsignaciones[[#This Row],[turno_manual]]&lt;&gt;"",tblAsignaciones[[#This Row],[turno_manual]],IF(LEFT(tblAsignaciones[[#This Row],[posicion_ciclo]],1)="B","B",tblAsignaciones[[#This Row],[posicion_ciclo]]))</f>
        <v/>
      </c>
      <c r="J319" s="3">
        <f>_xlfn.XLOOKUP(tblAsignaciones[[#This Row],[tecnico]],tblTecnicos[nombre],tblTecnicos[coordinador],"")</f>
        <v/>
      </c>
      <c r="K3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19" s="3">
        <f>tblAsignaciones[[#This Row],[semana]]&amp;"|"&amp;tblAsignaciones[[#This Row],[dia]]&amp;"|"&amp;tblAsignaciones[[#This Row],[tecnico]]</f>
        <v/>
      </c>
      <c r="N319" s="3">
        <f>_xlfn.XLOOKUP(tblAsignaciones[[#This Row],[turno]],tblTurnos[turno],tblTurnos[hora_inicio],"")</f>
        <v/>
      </c>
      <c r="O319" s="3">
        <f>_xlfn.XLOOKUP(tblAsignaciones[[#This Row],[turno]],tblTurnos[turno],tblTurnos[hora_fin],"")</f>
        <v/>
      </c>
    </row>
    <row r="320">
      <c r="A320" s="3" t="inlineStr">
        <is>
          <t>2026-S31</t>
        </is>
      </c>
      <c r="B320" s="3" t="inlineStr">
        <is>
          <t>martes</t>
        </is>
      </c>
      <c r="C320" s="3" t="inlineStr">
        <is>
          <t>Técnico 14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3">
        <f>COUNTIFS(tblTecnicos[rotativo],"SI",tblTecnicos[especialidad],tblAsignaciones[[#This Row],[especialidad]],tblTecnicos[area],tblAsignaciones[[#This Row],[area]])</f>
        <v/>
      </c>
      <c r="G3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6" t="n"/>
      <c r="I320" s="3">
        <f>IF(tblAsignaciones[[#This Row],[turno_manual]]&lt;&gt;"",tblAsignaciones[[#This Row],[turno_manual]],IF(LEFT(tblAsignaciones[[#This Row],[posicion_ciclo]],1)="B","B",tblAsignaciones[[#This Row],[posicion_ciclo]]))</f>
        <v/>
      </c>
      <c r="J320" s="3">
        <f>_xlfn.XLOOKUP(tblAsignaciones[[#This Row],[tecnico]],tblTecnicos[nombre],tblTecnicos[coordinador],"")</f>
        <v/>
      </c>
      <c r="K3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0" s="3">
        <f>tblAsignaciones[[#This Row],[semana]]&amp;"|"&amp;tblAsignaciones[[#This Row],[dia]]&amp;"|"&amp;tblAsignaciones[[#This Row],[tecnico]]</f>
        <v/>
      </c>
      <c r="N320" s="3">
        <f>_xlfn.XLOOKUP(tblAsignaciones[[#This Row],[turno]],tblTurnos[turno],tblTurnos[hora_inicio],"")</f>
        <v/>
      </c>
      <c r="O320" s="3">
        <f>_xlfn.XLOOKUP(tblAsignaciones[[#This Row],[turno]],tblTurnos[turno],tblTurnos[hora_fin],"")</f>
        <v/>
      </c>
    </row>
    <row r="321">
      <c r="A321" s="3" t="inlineStr">
        <is>
          <t>2026-S31</t>
        </is>
      </c>
      <c r="B321" s="3" t="inlineStr">
        <is>
          <t>miércoles</t>
        </is>
      </c>
      <c r="C321" s="3" t="inlineStr">
        <is>
          <t>Técnico 14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3">
        <f>COUNTIFS(tblTecnicos[rotativo],"SI",tblTecnicos[especialidad],tblAsignaciones[[#This Row],[especialidad]],tblTecnicos[area],tblAsignaciones[[#This Row],[area]])</f>
        <v/>
      </c>
      <c r="G3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6" t="n"/>
      <c r="I321" s="3">
        <f>IF(tblAsignaciones[[#This Row],[turno_manual]]&lt;&gt;"",tblAsignaciones[[#This Row],[turno_manual]],IF(LEFT(tblAsignaciones[[#This Row],[posicion_ciclo]],1)="B","B",tblAsignaciones[[#This Row],[posicion_ciclo]]))</f>
        <v/>
      </c>
      <c r="J321" s="3">
        <f>_xlfn.XLOOKUP(tblAsignaciones[[#This Row],[tecnico]],tblTecnicos[nombre],tblTecnicos[coordinador],"")</f>
        <v/>
      </c>
      <c r="K3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1" s="3">
        <f>tblAsignaciones[[#This Row],[semana]]&amp;"|"&amp;tblAsignaciones[[#This Row],[dia]]&amp;"|"&amp;tblAsignaciones[[#This Row],[tecnico]]</f>
        <v/>
      </c>
      <c r="N321" s="3">
        <f>_xlfn.XLOOKUP(tblAsignaciones[[#This Row],[turno]],tblTurnos[turno],tblTurnos[hora_inicio],"")</f>
        <v/>
      </c>
      <c r="O321" s="3">
        <f>_xlfn.XLOOKUP(tblAsignaciones[[#This Row],[turno]],tblTurnos[turno],tblTurnos[hora_fin],"")</f>
        <v/>
      </c>
    </row>
    <row r="322">
      <c r="A322" s="3" t="inlineStr">
        <is>
          <t>2026-S31</t>
        </is>
      </c>
      <c r="B322" s="3" t="inlineStr">
        <is>
          <t>jueves</t>
        </is>
      </c>
      <c r="C322" s="3" t="inlineStr">
        <is>
          <t>Técnico 14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3">
        <f>COUNTIFS(tblTecnicos[rotativo],"SI",tblTecnicos[especialidad],tblAsignaciones[[#This Row],[especialidad]],tblTecnicos[area],tblAsignaciones[[#This Row],[area]])</f>
        <v/>
      </c>
      <c r="G3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6" t="n"/>
      <c r="I322" s="3">
        <f>IF(tblAsignaciones[[#This Row],[turno_manual]]&lt;&gt;"",tblAsignaciones[[#This Row],[turno_manual]],IF(LEFT(tblAsignaciones[[#This Row],[posicion_ciclo]],1)="B","B",tblAsignaciones[[#This Row],[posicion_ciclo]]))</f>
        <v/>
      </c>
      <c r="J322" s="3">
        <f>_xlfn.XLOOKUP(tblAsignaciones[[#This Row],[tecnico]],tblTecnicos[nombre],tblTecnicos[coordinador],"")</f>
        <v/>
      </c>
      <c r="K3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2" s="3">
        <f>tblAsignaciones[[#This Row],[semana]]&amp;"|"&amp;tblAsignaciones[[#This Row],[dia]]&amp;"|"&amp;tblAsignaciones[[#This Row],[tecnico]]</f>
        <v/>
      </c>
      <c r="N322" s="3">
        <f>_xlfn.XLOOKUP(tblAsignaciones[[#This Row],[turno]],tblTurnos[turno],tblTurnos[hora_inicio],"")</f>
        <v/>
      </c>
      <c r="O322" s="3">
        <f>_xlfn.XLOOKUP(tblAsignaciones[[#This Row],[turno]],tblTurnos[turno],tblTurnos[hora_fin],"")</f>
        <v/>
      </c>
    </row>
    <row r="323">
      <c r="A323" s="3" t="inlineStr">
        <is>
          <t>2026-S31</t>
        </is>
      </c>
      <c r="B323" s="3" t="inlineStr">
        <is>
          <t>viernes</t>
        </is>
      </c>
      <c r="C323" s="3" t="inlineStr">
        <is>
          <t>Técnico 14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3">
        <f>COUNTIFS(tblTecnicos[rotativo],"SI",tblTecnicos[especialidad],tblAsignaciones[[#This Row],[especialidad]],tblTecnicos[area],tblAsignaciones[[#This Row],[area]])</f>
        <v/>
      </c>
      <c r="G3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6" t="n"/>
      <c r="I323" s="3">
        <f>IF(tblAsignaciones[[#This Row],[turno_manual]]&lt;&gt;"",tblAsignaciones[[#This Row],[turno_manual]],IF(LEFT(tblAsignaciones[[#This Row],[posicion_ciclo]],1)="B","B",tblAsignaciones[[#This Row],[posicion_ciclo]]))</f>
        <v/>
      </c>
      <c r="J323" s="3">
        <f>_xlfn.XLOOKUP(tblAsignaciones[[#This Row],[tecnico]],tblTecnicos[nombre],tblTecnicos[coordinador],"")</f>
        <v/>
      </c>
      <c r="K3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3" s="3">
        <f>tblAsignaciones[[#This Row],[semana]]&amp;"|"&amp;tblAsignaciones[[#This Row],[dia]]&amp;"|"&amp;tblAsignaciones[[#This Row],[tecnico]]</f>
        <v/>
      </c>
      <c r="N323" s="3">
        <f>_xlfn.XLOOKUP(tblAsignaciones[[#This Row],[turno]],tblTurnos[turno],tblTurnos[hora_inicio],"")</f>
        <v/>
      </c>
      <c r="O323" s="3">
        <f>_xlfn.XLOOKUP(tblAsignaciones[[#This Row],[turno]],tblTurnos[turno],tblTurnos[hora_fin],"")</f>
        <v/>
      </c>
    </row>
    <row r="324">
      <c r="A324" s="3" t="inlineStr">
        <is>
          <t>2026-S31</t>
        </is>
      </c>
      <c r="B324" s="3" t="inlineStr">
        <is>
          <t>sábado</t>
        </is>
      </c>
      <c r="C324" s="3" t="inlineStr">
        <is>
          <t>Técnico 14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3">
        <f>COUNTIFS(tblTecnicos[rotativo],"SI",tblTecnicos[especialidad],tblAsignaciones[[#This Row],[especialidad]],tblTecnicos[area],tblAsignaciones[[#This Row],[area]])</f>
        <v/>
      </c>
      <c r="G3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6" t="n"/>
      <c r="I324" s="3">
        <f>IF(tblAsignaciones[[#This Row],[turno_manual]]&lt;&gt;"",tblAsignaciones[[#This Row],[turno_manual]],IF(LEFT(tblAsignaciones[[#This Row],[posicion_ciclo]],1)="B","B",tblAsignaciones[[#This Row],[posicion_ciclo]]))</f>
        <v/>
      </c>
      <c r="J324" s="3">
        <f>_xlfn.XLOOKUP(tblAsignaciones[[#This Row],[tecnico]],tblTecnicos[nombre],tblTecnicos[coordinador],"")</f>
        <v/>
      </c>
      <c r="K3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4" s="3">
        <f>tblAsignaciones[[#This Row],[semana]]&amp;"|"&amp;tblAsignaciones[[#This Row],[dia]]&amp;"|"&amp;tblAsignaciones[[#This Row],[tecnico]]</f>
        <v/>
      </c>
      <c r="N324" s="3">
        <f>_xlfn.XLOOKUP(tblAsignaciones[[#This Row],[turno]],tblTurnos[turno],tblTurnos[hora_inicio],"")</f>
        <v/>
      </c>
      <c r="O324" s="3">
        <f>_xlfn.XLOOKUP(tblAsignaciones[[#This Row],[turno]],tblTurnos[turno],tblTurnos[hora_fin],"")</f>
        <v/>
      </c>
    </row>
    <row r="325">
      <c r="A325" s="3" t="inlineStr">
        <is>
          <t>2026-S31</t>
        </is>
      </c>
      <c r="B325" s="3" t="inlineStr">
        <is>
          <t>domingo</t>
        </is>
      </c>
      <c r="C325" s="3" t="inlineStr">
        <is>
          <t>Técnico 14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3">
        <f>COUNTIFS(tblTecnicos[rotativo],"SI",tblTecnicos[especialidad],tblAsignaciones[[#This Row],[especialidad]],tblTecnicos[area],tblAsignaciones[[#This Row],[area]])</f>
        <v/>
      </c>
      <c r="G3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6" t="n"/>
      <c r="I325" s="3">
        <f>IF(tblAsignaciones[[#This Row],[turno_manual]]&lt;&gt;"",tblAsignaciones[[#This Row],[turno_manual]],IF(LEFT(tblAsignaciones[[#This Row],[posicion_ciclo]],1)="B","B",tblAsignaciones[[#This Row],[posicion_ciclo]]))</f>
        <v/>
      </c>
      <c r="J325" s="3">
        <f>_xlfn.XLOOKUP(tblAsignaciones[[#This Row],[tecnico]],tblTecnicos[nombre],tblTecnicos[coordinador],"")</f>
        <v/>
      </c>
      <c r="K3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5" s="3">
        <f>tblAsignaciones[[#This Row],[semana]]&amp;"|"&amp;tblAsignaciones[[#This Row],[dia]]&amp;"|"&amp;tblAsignaciones[[#This Row],[tecnico]]</f>
        <v/>
      </c>
      <c r="N325" s="3">
        <f>_xlfn.XLOOKUP(tblAsignaciones[[#This Row],[turno]],tblTurnos[turno],tblTurnos[hora_inicio],"")</f>
        <v/>
      </c>
      <c r="O325" s="3">
        <f>_xlfn.XLOOKUP(tblAsignaciones[[#This Row],[turno]],tblTurnos[turno],tblTurnos[hora_fin],"")</f>
        <v/>
      </c>
    </row>
    <row r="326">
      <c r="A326" s="3" t="inlineStr">
        <is>
          <t>2026-S31</t>
        </is>
      </c>
      <c r="B326" s="3" t="inlineStr">
        <is>
          <t>lunes</t>
        </is>
      </c>
      <c r="C326" s="3" t="inlineStr">
        <is>
          <t>Técnico 15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3">
        <f>COUNTIFS(tblTecnicos[rotativo],"SI",tblTecnicos[especialidad],tblAsignaciones[[#This Row],[especialidad]],tblTecnicos[area],tblAsignaciones[[#This Row],[area]])</f>
        <v/>
      </c>
      <c r="G3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6" t="n"/>
      <c r="I326" s="3">
        <f>IF(tblAsignaciones[[#This Row],[turno_manual]]&lt;&gt;"",tblAsignaciones[[#This Row],[turno_manual]],IF(LEFT(tblAsignaciones[[#This Row],[posicion_ciclo]],1)="B","B",tblAsignaciones[[#This Row],[posicion_ciclo]]))</f>
        <v/>
      </c>
      <c r="J326" s="3">
        <f>_xlfn.XLOOKUP(tblAsignaciones[[#This Row],[tecnico]],tblTecnicos[nombre],tblTecnicos[coordinador],"")</f>
        <v/>
      </c>
      <c r="K3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6" s="3">
        <f>tblAsignaciones[[#This Row],[semana]]&amp;"|"&amp;tblAsignaciones[[#This Row],[dia]]&amp;"|"&amp;tblAsignaciones[[#This Row],[tecnico]]</f>
        <v/>
      </c>
      <c r="N326" s="3">
        <f>_xlfn.XLOOKUP(tblAsignaciones[[#This Row],[turno]],tblTurnos[turno],tblTurnos[hora_inicio],"")</f>
        <v/>
      </c>
      <c r="O326" s="3">
        <f>_xlfn.XLOOKUP(tblAsignaciones[[#This Row],[turno]],tblTurnos[turno],tblTurnos[hora_fin],"")</f>
        <v/>
      </c>
    </row>
    <row r="327">
      <c r="A327" s="3" t="inlineStr">
        <is>
          <t>2026-S31</t>
        </is>
      </c>
      <c r="B327" s="3" t="inlineStr">
        <is>
          <t>martes</t>
        </is>
      </c>
      <c r="C327" s="3" t="inlineStr">
        <is>
          <t>Técnico 15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3">
        <f>COUNTIFS(tblTecnicos[rotativo],"SI",tblTecnicos[especialidad],tblAsignaciones[[#This Row],[especialidad]],tblTecnicos[area],tblAsignaciones[[#This Row],[area]])</f>
        <v/>
      </c>
      <c r="G3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6" t="n"/>
      <c r="I327" s="3">
        <f>IF(tblAsignaciones[[#This Row],[turno_manual]]&lt;&gt;"",tblAsignaciones[[#This Row],[turno_manual]],IF(LEFT(tblAsignaciones[[#This Row],[posicion_ciclo]],1)="B","B",tblAsignaciones[[#This Row],[posicion_ciclo]]))</f>
        <v/>
      </c>
      <c r="J327" s="3">
        <f>_xlfn.XLOOKUP(tblAsignaciones[[#This Row],[tecnico]],tblTecnicos[nombre],tblTecnicos[coordinador],"")</f>
        <v/>
      </c>
      <c r="K3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7" s="3">
        <f>tblAsignaciones[[#This Row],[semana]]&amp;"|"&amp;tblAsignaciones[[#This Row],[dia]]&amp;"|"&amp;tblAsignaciones[[#This Row],[tecnico]]</f>
        <v/>
      </c>
      <c r="N327" s="3">
        <f>_xlfn.XLOOKUP(tblAsignaciones[[#This Row],[turno]],tblTurnos[turno],tblTurnos[hora_inicio],"")</f>
        <v/>
      </c>
      <c r="O327" s="3">
        <f>_xlfn.XLOOKUP(tblAsignaciones[[#This Row],[turno]],tblTurnos[turno],tblTurnos[hora_fin],"")</f>
        <v/>
      </c>
    </row>
    <row r="328">
      <c r="A328" s="3" t="inlineStr">
        <is>
          <t>2026-S31</t>
        </is>
      </c>
      <c r="B328" s="3" t="inlineStr">
        <is>
          <t>miércoles</t>
        </is>
      </c>
      <c r="C328" s="3" t="inlineStr">
        <is>
          <t>Técnico 15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3">
        <f>COUNTIFS(tblTecnicos[rotativo],"SI",tblTecnicos[especialidad],tblAsignaciones[[#This Row],[especialidad]],tblTecnicos[area],tblAsignaciones[[#This Row],[area]])</f>
        <v/>
      </c>
      <c r="G3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6" t="n"/>
      <c r="I328" s="3">
        <f>IF(tblAsignaciones[[#This Row],[turno_manual]]&lt;&gt;"",tblAsignaciones[[#This Row],[turno_manual]],IF(LEFT(tblAsignaciones[[#This Row],[posicion_ciclo]],1)="B","B",tblAsignaciones[[#This Row],[posicion_ciclo]]))</f>
        <v/>
      </c>
      <c r="J328" s="3">
        <f>_xlfn.XLOOKUP(tblAsignaciones[[#This Row],[tecnico]],tblTecnicos[nombre],tblTecnicos[coordinador],"")</f>
        <v/>
      </c>
      <c r="K3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8" s="3">
        <f>tblAsignaciones[[#This Row],[semana]]&amp;"|"&amp;tblAsignaciones[[#This Row],[dia]]&amp;"|"&amp;tblAsignaciones[[#This Row],[tecnico]]</f>
        <v/>
      </c>
      <c r="N328" s="3">
        <f>_xlfn.XLOOKUP(tblAsignaciones[[#This Row],[turno]],tblTurnos[turno],tblTurnos[hora_inicio],"")</f>
        <v/>
      </c>
      <c r="O328" s="3">
        <f>_xlfn.XLOOKUP(tblAsignaciones[[#This Row],[turno]],tblTurnos[turno],tblTurnos[hora_fin],"")</f>
        <v/>
      </c>
    </row>
    <row r="329">
      <c r="A329" s="3" t="inlineStr">
        <is>
          <t>2026-S31</t>
        </is>
      </c>
      <c r="B329" s="3" t="inlineStr">
        <is>
          <t>jueves</t>
        </is>
      </c>
      <c r="C329" s="3" t="inlineStr">
        <is>
          <t>Técnico 15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3">
        <f>COUNTIFS(tblTecnicos[rotativo],"SI",tblTecnicos[especialidad],tblAsignaciones[[#This Row],[especialidad]],tblTecnicos[area],tblAsignaciones[[#This Row],[area]])</f>
        <v/>
      </c>
      <c r="G3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6" t="n"/>
      <c r="I329" s="3">
        <f>IF(tblAsignaciones[[#This Row],[turno_manual]]&lt;&gt;"",tblAsignaciones[[#This Row],[turno_manual]],IF(LEFT(tblAsignaciones[[#This Row],[posicion_ciclo]],1)="B","B",tblAsignaciones[[#This Row],[posicion_ciclo]]))</f>
        <v/>
      </c>
      <c r="J329" s="3">
        <f>_xlfn.XLOOKUP(tblAsignaciones[[#This Row],[tecnico]],tblTecnicos[nombre],tblTecnicos[coordinador],"")</f>
        <v/>
      </c>
      <c r="K3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29" s="3">
        <f>tblAsignaciones[[#This Row],[semana]]&amp;"|"&amp;tblAsignaciones[[#This Row],[dia]]&amp;"|"&amp;tblAsignaciones[[#This Row],[tecnico]]</f>
        <v/>
      </c>
      <c r="N329" s="3">
        <f>_xlfn.XLOOKUP(tblAsignaciones[[#This Row],[turno]],tblTurnos[turno],tblTurnos[hora_inicio],"")</f>
        <v/>
      </c>
      <c r="O329" s="3">
        <f>_xlfn.XLOOKUP(tblAsignaciones[[#This Row],[turno]],tblTurnos[turno],tblTurnos[hora_fin],"")</f>
        <v/>
      </c>
    </row>
    <row r="330">
      <c r="A330" s="3" t="inlineStr">
        <is>
          <t>2026-S31</t>
        </is>
      </c>
      <c r="B330" s="3" t="inlineStr">
        <is>
          <t>viernes</t>
        </is>
      </c>
      <c r="C330" s="3" t="inlineStr">
        <is>
          <t>Técnico 15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3">
        <f>COUNTIFS(tblTecnicos[rotativo],"SI",tblTecnicos[especialidad],tblAsignaciones[[#This Row],[especialidad]],tblTecnicos[area],tblAsignaciones[[#This Row],[area]])</f>
        <v/>
      </c>
      <c r="G3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6" t="n"/>
      <c r="I330" s="3">
        <f>IF(tblAsignaciones[[#This Row],[turno_manual]]&lt;&gt;"",tblAsignaciones[[#This Row],[turno_manual]],IF(LEFT(tblAsignaciones[[#This Row],[posicion_ciclo]],1)="B","B",tblAsignaciones[[#This Row],[posicion_ciclo]]))</f>
        <v/>
      </c>
      <c r="J330" s="3">
        <f>_xlfn.XLOOKUP(tblAsignaciones[[#This Row],[tecnico]],tblTecnicos[nombre],tblTecnicos[coordinador],"")</f>
        <v/>
      </c>
      <c r="K3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0" s="3">
        <f>tblAsignaciones[[#This Row],[semana]]&amp;"|"&amp;tblAsignaciones[[#This Row],[dia]]&amp;"|"&amp;tblAsignaciones[[#This Row],[tecnico]]</f>
        <v/>
      </c>
      <c r="N330" s="3">
        <f>_xlfn.XLOOKUP(tblAsignaciones[[#This Row],[turno]],tblTurnos[turno],tblTurnos[hora_inicio],"")</f>
        <v/>
      </c>
      <c r="O330" s="3">
        <f>_xlfn.XLOOKUP(tblAsignaciones[[#This Row],[turno]],tblTurnos[turno],tblTurnos[hora_fin],"")</f>
        <v/>
      </c>
    </row>
    <row r="331">
      <c r="A331" s="3" t="inlineStr">
        <is>
          <t>2026-S31</t>
        </is>
      </c>
      <c r="B331" s="3" t="inlineStr">
        <is>
          <t>sábado</t>
        </is>
      </c>
      <c r="C331" s="3" t="inlineStr">
        <is>
          <t>Técnico 15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3">
        <f>COUNTIFS(tblTecnicos[rotativo],"SI",tblTecnicos[especialidad],tblAsignaciones[[#This Row],[especialidad]],tblTecnicos[area],tblAsignaciones[[#This Row],[area]])</f>
        <v/>
      </c>
      <c r="G3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6" t="n"/>
      <c r="I331" s="3">
        <f>IF(tblAsignaciones[[#This Row],[turno_manual]]&lt;&gt;"",tblAsignaciones[[#This Row],[turno_manual]],IF(LEFT(tblAsignaciones[[#This Row],[posicion_ciclo]],1)="B","B",tblAsignaciones[[#This Row],[posicion_ciclo]]))</f>
        <v/>
      </c>
      <c r="J331" s="3">
        <f>_xlfn.XLOOKUP(tblAsignaciones[[#This Row],[tecnico]],tblTecnicos[nombre],tblTecnicos[coordinador],"")</f>
        <v/>
      </c>
      <c r="K3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1" s="3">
        <f>tblAsignaciones[[#This Row],[semana]]&amp;"|"&amp;tblAsignaciones[[#This Row],[dia]]&amp;"|"&amp;tblAsignaciones[[#This Row],[tecnico]]</f>
        <v/>
      </c>
      <c r="N331" s="3">
        <f>_xlfn.XLOOKUP(tblAsignaciones[[#This Row],[turno]],tblTurnos[turno],tblTurnos[hora_inicio],"")</f>
        <v/>
      </c>
      <c r="O331" s="3">
        <f>_xlfn.XLOOKUP(tblAsignaciones[[#This Row],[turno]],tblTurnos[turno],tblTurnos[hora_fin],"")</f>
        <v/>
      </c>
    </row>
    <row r="332">
      <c r="A332" s="3" t="inlineStr">
        <is>
          <t>2026-S31</t>
        </is>
      </c>
      <c r="B332" s="3" t="inlineStr">
        <is>
          <t>domingo</t>
        </is>
      </c>
      <c r="C332" s="3" t="inlineStr">
        <is>
          <t>Técnico 15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3">
        <f>COUNTIFS(tblTecnicos[rotativo],"SI",tblTecnicos[especialidad],tblAsignaciones[[#This Row],[especialidad]],tblTecnicos[area],tblAsignaciones[[#This Row],[area]])</f>
        <v/>
      </c>
      <c r="G3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6" t="n"/>
      <c r="I332" s="3">
        <f>IF(tblAsignaciones[[#This Row],[turno_manual]]&lt;&gt;"",tblAsignaciones[[#This Row],[turno_manual]],IF(LEFT(tblAsignaciones[[#This Row],[posicion_ciclo]],1)="B","B",tblAsignaciones[[#This Row],[posicion_ciclo]]))</f>
        <v/>
      </c>
      <c r="J332" s="3">
        <f>_xlfn.XLOOKUP(tblAsignaciones[[#This Row],[tecnico]],tblTecnicos[nombre],tblTecnicos[coordinador],"")</f>
        <v/>
      </c>
      <c r="K3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2" s="3">
        <f>tblAsignaciones[[#This Row],[semana]]&amp;"|"&amp;tblAsignaciones[[#This Row],[dia]]&amp;"|"&amp;tblAsignaciones[[#This Row],[tecnico]]</f>
        <v/>
      </c>
      <c r="N332" s="3">
        <f>_xlfn.XLOOKUP(tblAsignaciones[[#This Row],[turno]],tblTurnos[turno],tblTurnos[hora_inicio],"")</f>
        <v/>
      </c>
      <c r="O332" s="3">
        <f>_xlfn.XLOOKUP(tblAsignaciones[[#This Row],[turno]],tblTurnos[turno],tblTurnos[hora_fin],"")</f>
        <v/>
      </c>
    </row>
    <row r="333">
      <c r="A333" s="3" t="inlineStr">
        <is>
          <t>2026-S31</t>
        </is>
      </c>
      <c r="B333" s="3" t="inlineStr">
        <is>
          <t>lunes</t>
        </is>
      </c>
      <c r="C333" s="3" t="inlineStr">
        <is>
          <t>Técnico 16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3">
        <f>COUNTIFS(tblTecnicos[rotativo],"SI",tblTecnicos[especialidad],tblAsignaciones[[#This Row],[especialidad]],tblTecnicos[area],tblAsignaciones[[#This Row],[area]])</f>
        <v/>
      </c>
      <c r="G3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6" t="n"/>
      <c r="I333" s="3">
        <f>IF(tblAsignaciones[[#This Row],[turno_manual]]&lt;&gt;"",tblAsignaciones[[#This Row],[turno_manual]],IF(LEFT(tblAsignaciones[[#This Row],[posicion_ciclo]],1)="B","B",tblAsignaciones[[#This Row],[posicion_ciclo]]))</f>
        <v/>
      </c>
      <c r="J333" s="3">
        <f>_xlfn.XLOOKUP(tblAsignaciones[[#This Row],[tecnico]],tblTecnicos[nombre],tblTecnicos[coordinador],"")</f>
        <v/>
      </c>
      <c r="K3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3" s="3">
        <f>tblAsignaciones[[#This Row],[semana]]&amp;"|"&amp;tblAsignaciones[[#This Row],[dia]]&amp;"|"&amp;tblAsignaciones[[#This Row],[tecnico]]</f>
        <v/>
      </c>
      <c r="N333" s="3">
        <f>_xlfn.XLOOKUP(tblAsignaciones[[#This Row],[turno]],tblTurnos[turno],tblTurnos[hora_inicio],"")</f>
        <v/>
      </c>
      <c r="O333" s="3">
        <f>_xlfn.XLOOKUP(tblAsignaciones[[#This Row],[turno]],tblTurnos[turno],tblTurnos[hora_fin],"")</f>
        <v/>
      </c>
    </row>
    <row r="334">
      <c r="A334" s="3" t="inlineStr">
        <is>
          <t>2026-S31</t>
        </is>
      </c>
      <c r="B334" s="3" t="inlineStr">
        <is>
          <t>martes</t>
        </is>
      </c>
      <c r="C334" s="3" t="inlineStr">
        <is>
          <t>Técnico 16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3">
        <f>COUNTIFS(tblTecnicos[rotativo],"SI",tblTecnicos[especialidad],tblAsignaciones[[#This Row],[especialidad]],tblTecnicos[area],tblAsignaciones[[#This Row],[area]])</f>
        <v/>
      </c>
      <c r="G3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6" t="n"/>
      <c r="I334" s="3">
        <f>IF(tblAsignaciones[[#This Row],[turno_manual]]&lt;&gt;"",tblAsignaciones[[#This Row],[turno_manual]],IF(LEFT(tblAsignaciones[[#This Row],[posicion_ciclo]],1)="B","B",tblAsignaciones[[#This Row],[posicion_ciclo]]))</f>
        <v/>
      </c>
      <c r="J334" s="3">
        <f>_xlfn.XLOOKUP(tblAsignaciones[[#This Row],[tecnico]],tblTecnicos[nombre],tblTecnicos[coordinador],"")</f>
        <v/>
      </c>
      <c r="K3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4" s="3">
        <f>tblAsignaciones[[#This Row],[semana]]&amp;"|"&amp;tblAsignaciones[[#This Row],[dia]]&amp;"|"&amp;tblAsignaciones[[#This Row],[tecnico]]</f>
        <v/>
      </c>
      <c r="N334" s="3">
        <f>_xlfn.XLOOKUP(tblAsignaciones[[#This Row],[turno]],tblTurnos[turno],tblTurnos[hora_inicio],"")</f>
        <v/>
      </c>
      <c r="O334" s="3">
        <f>_xlfn.XLOOKUP(tblAsignaciones[[#This Row],[turno]],tblTurnos[turno],tblTurnos[hora_fin],"")</f>
        <v/>
      </c>
    </row>
    <row r="335">
      <c r="A335" s="3" t="inlineStr">
        <is>
          <t>2026-S31</t>
        </is>
      </c>
      <c r="B335" s="3" t="inlineStr">
        <is>
          <t>miércoles</t>
        </is>
      </c>
      <c r="C335" s="3" t="inlineStr">
        <is>
          <t>Técnico 16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3">
        <f>COUNTIFS(tblTecnicos[rotativo],"SI",tblTecnicos[especialidad],tblAsignaciones[[#This Row],[especialidad]],tblTecnicos[area],tblAsignaciones[[#This Row],[area]])</f>
        <v/>
      </c>
      <c r="G3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6" t="n"/>
      <c r="I335" s="3">
        <f>IF(tblAsignaciones[[#This Row],[turno_manual]]&lt;&gt;"",tblAsignaciones[[#This Row],[turno_manual]],IF(LEFT(tblAsignaciones[[#This Row],[posicion_ciclo]],1)="B","B",tblAsignaciones[[#This Row],[posicion_ciclo]]))</f>
        <v/>
      </c>
      <c r="J335" s="3">
        <f>_xlfn.XLOOKUP(tblAsignaciones[[#This Row],[tecnico]],tblTecnicos[nombre],tblTecnicos[coordinador],"")</f>
        <v/>
      </c>
      <c r="K3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5" s="3">
        <f>tblAsignaciones[[#This Row],[semana]]&amp;"|"&amp;tblAsignaciones[[#This Row],[dia]]&amp;"|"&amp;tblAsignaciones[[#This Row],[tecnico]]</f>
        <v/>
      </c>
      <c r="N335" s="3">
        <f>_xlfn.XLOOKUP(tblAsignaciones[[#This Row],[turno]],tblTurnos[turno],tblTurnos[hora_inicio],"")</f>
        <v/>
      </c>
      <c r="O335" s="3">
        <f>_xlfn.XLOOKUP(tblAsignaciones[[#This Row],[turno]],tblTurnos[turno],tblTurnos[hora_fin],"")</f>
        <v/>
      </c>
    </row>
    <row r="336">
      <c r="A336" s="3" t="inlineStr">
        <is>
          <t>2026-S31</t>
        </is>
      </c>
      <c r="B336" s="3" t="inlineStr">
        <is>
          <t>jueves</t>
        </is>
      </c>
      <c r="C336" s="3" t="inlineStr">
        <is>
          <t>Técnico 16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3">
        <f>COUNTIFS(tblTecnicos[rotativo],"SI",tblTecnicos[especialidad],tblAsignaciones[[#This Row],[especialidad]],tblTecnicos[area],tblAsignaciones[[#This Row],[area]])</f>
        <v/>
      </c>
      <c r="G3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6" t="n"/>
      <c r="I336" s="3">
        <f>IF(tblAsignaciones[[#This Row],[turno_manual]]&lt;&gt;"",tblAsignaciones[[#This Row],[turno_manual]],IF(LEFT(tblAsignaciones[[#This Row],[posicion_ciclo]],1)="B","B",tblAsignaciones[[#This Row],[posicion_ciclo]]))</f>
        <v/>
      </c>
      <c r="J336" s="3">
        <f>_xlfn.XLOOKUP(tblAsignaciones[[#This Row],[tecnico]],tblTecnicos[nombre],tblTecnicos[coordinador],"")</f>
        <v/>
      </c>
      <c r="K3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6" s="3">
        <f>tblAsignaciones[[#This Row],[semana]]&amp;"|"&amp;tblAsignaciones[[#This Row],[dia]]&amp;"|"&amp;tblAsignaciones[[#This Row],[tecnico]]</f>
        <v/>
      </c>
      <c r="N336" s="3">
        <f>_xlfn.XLOOKUP(tblAsignaciones[[#This Row],[turno]],tblTurnos[turno],tblTurnos[hora_inicio],"")</f>
        <v/>
      </c>
      <c r="O336" s="3">
        <f>_xlfn.XLOOKUP(tblAsignaciones[[#This Row],[turno]],tblTurnos[turno],tblTurnos[hora_fin],"")</f>
        <v/>
      </c>
    </row>
    <row r="337">
      <c r="A337" s="3" t="inlineStr">
        <is>
          <t>2026-S31</t>
        </is>
      </c>
      <c r="B337" s="3" t="inlineStr">
        <is>
          <t>viernes</t>
        </is>
      </c>
      <c r="C337" s="3" t="inlineStr">
        <is>
          <t>Técnico 16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3">
        <f>COUNTIFS(tblTecnicos[rotativo],"SI",tblTecnicos[especialidad],tblAsignaciones[[#This Row],[especialidad]],tblTecnicos[area],tblAsignaciones[[#This Row],[area]])</f>
        <v/>
      </c>
      <c r="G3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6" t="n"/>
      <c r="I337" s="3">
        <f>IF(tblAsignaciones[[#This Row],[turno_manual]]&lt;&gt;"",tblAsignaciones[[#This Row],[turno_manual]],IF(LEFT(tblAsignaciones[[#This Row],[posicion_ciclo]],1)="B","B",tblAsignaciones[[#This Row],[posicion_ciclo]]))</f>
        <v/>
      </c>
      <c r="J337" s="3">
        <f>_xlfn.XLOOKUP(tblAsignaciones[[#This Row],[tecnico]],tblTecnicos[nombre],tblTecnicos[coordinador],"")</f>
        <v/>
      </c>
      <c r="K3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7" s="3">
        <f>tblAsignaciones[[#This Row],[semana]]&amp;"|"&amp;tblAsignaciones[[#This Row],[dia]]&amp;"|"&amp;tblAsignaciones[[#This Row],[tecnico]]</f>
        <v/>
      </c>
      <c r="N337" s="3">
        <f>_xlfn.XLOOKUP(tblAsignaciones[[#This Row],[turno]],tblTurnos[turno],tblTurnos[hora_inicio],"")</f>
        <v/>
      </c>
      <c r="O337" s="3">
        <f>_xlfn.XLOOKUP(tblAsignaciones[[#This Row],[turno]],tblTurnos[turno],tblTurnos[hora_fin],"")</f>
        <v/>
      </c>
    </row>
    <row r="338">
      <c r="A338" s="3" t="inlineStr">
        <is>
          <t>2026-S31</t>
        </is>
      </c>
      <c r="B338" s="3" t="inlineStr">
        <is>
          <t>sábado</t>
        </is>
      </c>
      <c r="C338" s="3" t="inlineStr">
        <is>
          <t>Técnico 16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3">
        <f>COUNTIFS(tblTecnicos[rotativo],"SI",tblTecnicos[especialidad],tblAsignaciones[[#This Row],[especialidad]],tblTecnicos[area],tblAsignaciones[[#This Row],[area]])</f>
        <v/>
      </c>
      <c r="G3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6" t="n"/>
      <c r="I338" s="3">
        <f>IF(tblAsignaciones[[#This Row],[turno_manual]]&lt;&gt;"",tblAsignaciones[[#This Row],[turno_manual]],IF(LEFT(tblAsignaciones[[#This Row],[posicion_ciclo]],1)="B","B",tblAsignaciones[[#This Row],[posicion_ciclo]]))</f>
        <v/>
      </c>
      <c r="J338" s="3">
        <f>_xlfn.XLOOKUP(tblAsignaciones[[#This Row],[tecnico]],tblTecnicos[nombre],tblTecnicos[coordinador],"")</f>
        <v/>
      </c>
      <c r="K3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8" s="3">
        <f>tblAsignaciones[[#This Row],[semana]]&amp;"|"&amp;tblAsignaciones[[#This Row],[dia]]&amp;"|"&amp;tblAsignaciones[[#This Row],[tecnico]]</f>
        <v/>
      </c>
      <c r="N338" s="3">
        <f>_xlfn.XLOOKUP(tblAsignaciones[[#This Row],[turno]],tblTurnos[turno],tblTurnos[hora_inicio],"")</f>
        <v/>
      </c>
      <c r="O338" s="3">
        <f>_xlfn.XLOOKUP(tblAsignaciones[[#This Row],[turno]],tblTurnos[turno],tblTurnos[hora_fin],"")</f>
        <v/>
      </c>
    </row>
    <row r="339">
      <c r="A339" s="3" t="inlineStr">
        <is>
          <t>2026-S31</t>
        </is>
      </c>
      <c r="B339" s="3" t="inlineStr">
        <is>
          <t>domingo</t>
        </is>
      </c>
      <c r="C339" s="3" t="inlineStr">
        <is>
          <t>Técnico 16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3">
        <f>COUNTIFS(tblTecnicos[rotativo],"SI",tblTecnicos[especialidad],tblAsignaciones[[#This Row],[especialidad]],tblTecnicos[area],tblAsignaciones[[#This Row],[area]])</f>
        <v/>
      </c>
      <c r="G3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6" t="n"/>
      <c r="I339" s="3">
        <f>IF(tblAsignaciones[[#This Row],[turno_manual]]&lt;&gt;"",tblAsignaciones[[#This Row],[turno_manual]],IF(LEFT(tblAsignaciones[[#This Row],[posicion_ciclo]],1)="B","B",tblAsignaciones[[#This Row],[posicion_ciclo]]))</f>
        <v/>
      </c>
      <c r="J339" s="3">
        <f>_xlfn.XLOOKUP(tblAsignaciones[[#This Row],[tecnico]],tblTecnicos[nombre],tblTecnicos[coordinador],"")</f>
        <v/>
      </c>
      <c r="K3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39" s="3">
        <f>tblAsignaciones[[#This Row],[semana]]&amp;"|"&amp;tblAsignaciones[[#This Row],[dia]]&amp;"|"&amp;tblAsignaciones[[#This Row],[tecnico]]</f>
        <v/>
      </c>
      <c r="N339" s="3">
        <f>_xlfn.XLOOKUP(tblAsignaciones[[#This Row],[turno]],tblTurnos[turno],tblTurnos[hora_inicio],"")</f>
        <v/>
      </c>
      <c r="O339" s="3">
        <f>_xlfn.XLOOKUP(tblAsignaciones[[#This Row],[turno]],tblTurnos[turno],tblTurnos[hora_fin],"")</f>
        <v/>
      </c>
    </row>
    <row r="340">
      <c r="A340" s="3" t="inlineStr">
        <is>
          <t>2026-S32</t>
        </is>
      </c>
      <c r="B340" s="3" t="inlineStr">
        <is>
          <t>lunes</t>
        </is>
      </c>
      <c r="C340" s="3" t="inlineStr">
        <is>
          <t>Técnico 01</t>
        </is>
      </c>
      <c r="D340" s="3">
        <f>_xlfn.XLOOKUP(tblAsignaciones[[#This Row],[tecnico]],tblTecnicos[nombre],tblTecnicos[area],"")</f>
        <v/>
      </c>
      <c r="E340" s="3">
        <f>_xlfn.XLOOKUP(tblAsignaciones[[#This Row],[tecnico]],tblTecnicos[nombre],tblTecnicos[especialidad],"")</f>
        <v/>
      </c>
      <c r="F340" s="3">
        <f>COUNTIFS(tblTecnicos[rotativo],"SI",tblTecnicos[especialidad],tblAsignaciones[[#This Row],[especialidad]],tblTecnicos[area],tblAsignaciones[[#This Row],[area]])</f>
        <v/>
      </c>
      <c r="G3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6" t="n"/>
      <c r="I340" s="3">
        <f>IF(tblAsignaciones[[#This Row],[turno_manual]]&lt;&gt;"",tblAsignaciones[[#This Row],[turno_manual]],IF(LEFT(tblAsignaciones[[#This Row],[posicion_ciclo]],1)="B","B",tblAsignaciones[[#This Row],[posicion_ciclo]]))</f>
        <v/>
      </c>
      <c r="J340" s="3">
        <f>_xlfn.XLOOKUP(tblAsignaciones[[#This Row],[tecnico]],tblTecnicos[nombre],tblTecnicos[coordinador],"")</f>
        <v/>
      </c>
      <c r="K3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0" s="3">
        <f>tblAsignaciones[[#This Row],[semana]]&amp;"|"&amp;tblAsignaciones[[#This Row],[dia]]&amp;"|"&amp;tblAsignaciones[[#This Row],[tecnico]]</f>
        <v/>
      </c>
      <c r="N340" s="3">
        <f>_xlfn.XLOOKUP(tblAsignaciones[[#This Row],[turno]],tblTurnos[turno],tblTurnos[hora_inicio],"")</f>
        <v/>
      </c>
      <c r="O340" s="3">
        <f>_xlfn.XLOOKUP(tblAsignaciones[[#This Row],[turno]],tblTurnos[turno],tblTurnos[hora_fin],"")</f>
        <v/>
      </c>
    </row>
    <row r="341">
      <c r="A341" s="3" t="inlineStr">
        <is>
          <t>2026-S32</t>
        </is>
      </c>
      <c r="B341" s="3" t="inlineStr">
        <is>
          <t>martes</t>
        </is>
      </c>
      <c r="C341" s="3" t="inlineStr">
        <is>
          <t>Técnico 01</t>
        </is>
      </c>
      <c r="D341" s="3">
        <f>_xlfn.XLOOKUP(tblAsignaciones[[#This Row],[tecnico]],tblTecnicos[nombre],tblTecnicos[area],"")</f>
        <v/>
      </c>
      <c r="E341" s="3">
        <f>_xlfn.XLOOKUP(tblAsignaciones[[#This Row],[tecnico]],tblTecnicos[nombre],tblTecnicos[especialidad],"")</f>
        <v/>
      </c>
      <c r="F341" s="3">
        <f>COUNTIFS(tblTecnicos[rotativo],"SI",tblTecnicos[especialidad],tblAsignaciones[[#This Row],[especialidad]],tblTecnicos[area],tblAsignaciones[[#This Row],[area]])</f>
        <v/>
      </c>
      <c r="G3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6" t="n"/>
      <c r="I341" s="3">
        <f>IF(tblAsignaciones[[#This Row],[turno_manual]]&lt;&gt;"",tblAsignaciones[[#This Row],[turno_manual]],IF(LEFT(tblAsignaciones[[#This Row],[posicion_ciclo]],1)="B","B",tblAsignaciones[[#This Row],[posicion_ciclo]]))</f>
        <v/>
      </c>
      <c r="J341" s="3">
        <f>_xlfn.XLOOKUP(tblAsignaciones[[#This Row],[tecnico]],tblTecnicos[nombre],tblTecnicos[coordinador],"")</f>
        <v/>
      </c>
      <c r="K3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1" s="3">
        <f>tblAsignaciones[[#This Row],[semana]]&amp;"|"&amp;tblAsignaciones[[#This Row],[dia]]&amp;"|"&amp;tblAsignaciones[[#This Row],[tecnico]]</f>
        <v/>
      </c>
      <c r="N341" s="3">
        <f>_xlfn.XLOOKUP(tblAsignaciones[[#This Row],[turno]],tblTurnos[turno],tblTurnos[hora_inicio],"")</f>
        <v/>
      </c>
      <c r="O341" s="3">
        <f>_xlfn.XLOOKUP(tblAsignaciones[[#This Row],[turno]],tblTurnos[turno],tblTurnos[hora_fin],"")</f>
        <v/>
      </c>
    </row>
    <row r="342">
      <c r="A342" s="3" t="inlineStr">
        <is>
          <t>2026-S32</t>
        </is>
      </c>
      <c r="B342" s="3" t="inlineStr">
        <is>
          <t>miércoles</t>
        </is>
      </c>
      <c r="C342" s="3" t="inlineStr">
        <is>
          <t>Técnico 01</t>
        </is>
      </c>
      <c r="D342" s="3">
        <f>_xlfn.XLOOKUP(tblAsignaciones[[#This Row],[tecnico]],tblTecnicos[nombre],tblTecnicos[area],"")</f>
        <v/>
      </c>
      <c r="E342" s="3">
        <f>_xlfn.XLOOKUP(tblAsignaciones[[#This Row],[tecnico]],tblTecnicos[nombre],tblTecnicos[especialidad],"")</f>
        <v/>
      </c>
      <c r="F342" s="3">
        <f>COUNTIFS(tblTecnicos[rotativo],"SI",tblTecnicos[especialidad],tblAsignaciones[[#This Row],[especialidad]],tblTecnicos[area],tblAsignaciones[[#This Row],[area]])</f>
        <v/>
      </c>
      <c r="G3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6" t="n"/>
      <c r="I342" s="3">
        <f>IF(tblAsignaciones[[#This Row],[turno_manual]]&lt;&gt;"",tblAsignaciones[[#This Row],[turno_manual]],IF(LEFT(tblAsignaciones[[#This Row],[posicion_ciclo]],1)="B","B",tblAsignaciones[[#This Row],[posicion_ciclo]]))</f>
        <v/>
      </c>
      <c r="J342" s="3">
        <f>_xlfn.XLOOKUP(tblAsignaciones[[#This Row],[tecnico]],tblTecnicos[nombre],tblTecnicos[coordinador],"")</f>
        <v/>
      </c>
      <c r="K3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2" s="3">
        <f>tblAsignaciones[[#This Row],[semana]]&amp;"|"&amp;tblAsignaciones[[#This Row],[dia]]&amp;"|"&amp;tblAsignaciones[[#This Row],[tecnico]]</f>
        <v/>
      </c>
      <c r="N342" s="3">
        <f>_xlfn.XLOOKUP(tblAsignaciones[[#This Row],[turno]],tblTurnos[turno],tblTurnos[hora_inicio],"")</f>
        <v/>
      </c>
      <c r="O342" s="3">
        <f>_xlfn.XLOOKUP(tblAsignaciones[[#This Row],[turno]],tblTurnos[turno],tblTurnos[hora_fin],"")</f>
        <v/>
      </c>
    </row>
    <row r="343">
      <c r="A343" s="3" t="inlineStr">
        <is>
          <t>2026-S32</t>
        </is>
      </c>
      <c r="B343" s="3" t="inlineStr">
        <is>
          <t>jueves</t>
        </is>
      </c>
      <c r="C343" s="3" t="inlineStr">
        <is>
          <t>Técnico 01</t>
        </is>
      </c>
      <c r="D343" s="3">
        <f>_xlfn.XLOOKUP(tblAsignaciones[[#This Row],[tecnico]],tblTecnicos[nombre],tblTecnicos[area],"")</f>
        <v/>
      </c>
      <c r="E343" s="3">
        <f>_xlfn.XLOOKUP(tblAsignaciones[[#This Row],[tecnico]],tblTecnicos[nombre],tblTecnicos[especialidad],"")</f>
        <v/>
      </c>
      <c r="F343" s="3">
        <f>COUNTIFS(tblTecnicos[rotativo],"SI",tblTecnicos[especialidad],tblAsignaciones[[#This Row],[especialidad]],tblTecnicos[area],tblAsignaciones[[#This Row],[area]])</f>
        <v/>
      </c>
      <c r="G3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6" t="n"/>
      <c r="I343" s="3">
        <f>IF(tblAsignaciones[[#This Row],[turno_manual]]&lt;&gt;"",tblAsignaciones[[#This Row],[turno_manual]],IF(LEFT(tblAsignaciones[[#This Row],[posicion_ciclo]],1)="B","B",tblAsignaciones[[#This Row],[posicion_ciclo]]))</f>
        <v/>
      </c>
      <c r="J343" s="3">
        <f>_xlfn.XLOOKUP(tblAsignaciones[[#This Row],[tecnico]],tblTecnicos[nombre],tblTecnicos[coordinador],"")</f>
        <v/>
      </c>
      <c r="K3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3" s="3">
        <f>tblAsignaciones[[#This Row],[semana]]&amp;"|"&amp;tblAsignaciones[[#This Row],[dia]]&amp;"|"&amp;tblAsignaciones[[#This Row],[tecnico]]</f>
        <v/>
      </c>
      <c r="N343" s="3">
        <f>_xlfn.XLOOKUP(tblAsignaciones[[#This Row],[turno]],tblTurnos[turno],tblTurnos[hora_inicio],"")</f>
        <v/>
      </c>
      <c r="O343" s="3">
        <f>_xlfn.XLOOKUP(tblAsignaciones[[#This Row],[turno]],tblTurnos[turno],tblTurnos[hora_fin],"")</f>
        <v/>
      </c>
    </row>
    <row r="344">
      <c r="A344" s="3" t="inlineStr">
        <is>
          <t>2026-S32</t>
        </is>
      </c>
      <c r="B344" s="3" t="inlineStr">
        <is>
          <t>viernes</t>
        </is>
      </c>
      <c r="C344" s="3" t="inlineStr">
        <is>
          <t>Técnico 01</t>
        </is>
      </c>
      <c r="D344" s="3">
        <f>_xlfn.XLOOKUP(tblAsignaciones[[#This Row],[tecnico]],tblTecnicos[nombre],tblTecnicos[area],"")</f>
        <v/>
      </c>
      <c r="E344" s="3">
        <f>_xlfn.XLOOKUP(tblAsignaciones[[#This Row],[tecnico]],tblTecnicos[nombre],tblTecnicos[especialidad],"")</f>
        <v/>
      </c>
      <c r="F344" s="3">
        <f>COUNTIFS(tblTecnicos[rotativo],"SI",tblTecnicos[especialidad],tblAsignaciones[[#This Row],[especialidad]],tblTecnicos[area],tblAsignaciones[[#This Row],[area]])</f>
        <v/>
      </c>
      <c r="G3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6" t="n"/>
      <c r="I344" s="3">
        <f>IF(tblAsignaciones[[#This Row],[turno_manual]]&lt;&gt;"",tblAsignaciones[[#This Row],[turno_manual]],IF(LEFT(tblAsignaciones[[#This Row],[posicion_ciclo]],1)="B","B",tblAsignaciones[[#This Row],[posicion_ciclo]]))</f>
        <v/>
      </c>
      <c r="J344" s="3">
        <f>_xlfn.XLOOKUP(tblAsignaciones[[#This Row],[tecnico]],tblTecnicos[nombre],tblTecnicos[coordinador],"")</f>
        <v/>
      </c>
      <c r="K3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4" s="3">
        <f>tblAsignaciones[[#This Row],[semana]]&amp;"|"&amp;tblAsignaciones[[#This Row],[dia]]&amp;"|"&amp;tblAsignaciones[[#This Row],[tecnico]]</f>
        <v/>
      </c>
      <c r="N344" s="3">
        <f>_xlfn.XLOOKUP(tblAsignaciones[[#This Row],[turno]],tblTurnos[turno],tblTurnos[hora_inicio],"")</f>
        <v/>
      </c>
      <c r="O344" s="3">
        <f>_xlfn.XLOOKUP(tblAsignaciones[[#This Row],[turno]],tblTurnos[turno],tblTurnos[hora_fin],"")</f>
        <v/>
      </c>
    </row>
    <row r="345">
      <c r="A345" s="3" t="inlineStr">
        <is>
          <t>2026-S32</t>
        </is>
      </c>
      <c r="B345" s="3" t="inlineStr">
        <is>
          <t>sábado</t>
        </is>
      </c>
      <c r="C345" s="3" t="inlineStr">
        <is>
          <t>Técnico 01</t>
        </is>
      </c>
      <c r="D345" s="3">
        <f>_xlfn.XLOOKUP(tblAsignaciones[[#This Row],[tecnico]],tblTecnicos[nombre],tblTecnicos[area],"")</f>
        <v/>
      </c>
      <c r="E345" s="3">
        <f>_xlfn.XLOOKUP(tblAsignaciones[[#This Row],[tecnico]],tblTecnicos[nombre],tblTecnicos[especialidad],"")</f>
        <v/>
      </c>
      <c r="F345" s="3">
        <f>COUNTIFS(tblTecnicos[rotativo],"SI",tblTecnicos[especialidad],tblAsignaciones[[#This Row],[especialidad]],tblTecnicos[area],tblAsignaciones[[#This Row],[area]])</f>
        <v/>
      </c>
      <c r="G3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6" t="n"/>
      <c r="I345" s="3">
        <f>IF(tblAsignaciones[[#This Row],[turno_manual]]&lt;&gt;"",tblAsignaciones[[#This Row],[turno_manual]],IF(LEFT(tblAsignaciones[[#This Row],[posicion_ciclo]],1)="B","B",tblAsignaciones[[#This Row],[posicion_ciclo]]))</f>
        <v/>
      </c>
      <c r="J345" s="3">
        <f>_xlfn.XLOOKUP(tblAsignaciones[[#This Row],[tecnico]],tblTecnicos[nombre],tblTecnicos[coordinador],"")</f>
        <v/>
      </c>
      <c r="K3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5" s="3">
        <f>tblAsignaciones[[#This Row],[semana]]&amp;"|"&amp;tblAsignaciones[[#This Row],[dia]]&amp;"|"&amp;tblAsignaciones[[#This Row],[tecnico]]</f>
        <v/>
      </c>
      <c r="N345" s="3">
        <f>_xlfn.XLOOKUP(tblAsignaciones[[#This Row],[turno]],tblTurnos[turno],tblTurnos[hora_inicio],"")</f>
        <v/>
      </c>
      <c r="O345" s="3">
        <f>_xlfn.XLOOKUP(tblAsignaciones[[#This Row],[turno]],tblTurnos[turno],tblTurnos[hora_fin],"")</f>
        <v/>
      </c>
    </row>
    <row r="346">
      <c r="A346" s="3" t="inlineStr">
        <is>
          <t>2026-S32</t>
        </is>
      </c>
      <c r="B346" s="3" t="inlineStr">
        <is>
          <t>domingo</t>
        </is>
      </c>
      <c r="C346" s="3" t="inlineStr">
        <is>
          <t>Técnico 01</t>
        </is>
      </c>
      <c r="D346" s="3">
        <f>_xlfn.XLOOKUP(tblAsignaciones[[#This Row],[tecnico]],tblTecnicos[nombre],tblTecnicos[area],"")</f>
        <v/>
      </c>
      <c r="E346" s="3">
        <f>_xlfn.XLOOKUP(tblAsignaciones[[#This Row],[tecnico]],tblTecnicos[nombre],tblTecnicos[especialidad],"")</f>
        <v/>
      </c>
      <c r="F346" s="3">
        <f>COUNTIFS(tblTecnicos[rotativo],"SI",tblTecnicos[especialidad],tblAsignaciones[[#This Row],[especialidad]],tblTecnicos[area],tblAsignaciones[[#This Row],[area]])</f>
        <v/>
      </c>
      <c r="G3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6" t="n"/>
      <c r="I346" s="3">
        <f>IF(tblAsignaciones[[#This Row],[turno_manual]]&lt;&gt;"",tblAsignaciones[[#This Row],[turno_manual]],IF(LEFT(tblAsignaciones[[#This Row],[posicion_ciclo]],1)="B","B",tblAsignaciones[[#This Row],[posicion_ciclo]]))</f>
        <v/>
      </c>
      <c r="J346" s="3">
        <f>_xlfn.XLOOKUP(tblAsignaciones[[#This Row],[tecnico]],tblTecnicos[nombre],tblTecnicos[coordinador],"")</f>
        <v/>
      </c>
      <c r="K3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6" s="3">
        <f>tblAsignaciones[[#This Row],[semana]]&amp;"|"&amp;tblAsignaciones[[#This Row],[dia]]&amp;"|"&amp;tblAsignaciones[[#This Row],[tecnico]]</f>
        <v/>
      </c>
      <c r="N346" s="3">
        <f>_xlfn.XLOOKUP(tblAsignaciones[[#This Row],[turno]],tblTurnos[turno],tblTurnos[hora_inicio],"")</f>
        <v/>
      </c>
      <c r="O346" s="3">
        <f>_xlfn.XLOOKUP(tblAsignaciones[[#This Row],[turno]],tblTurnos[turno],tblTurnos[hora_fin],"")</f>
        <v/>
      </c>
    </row>
    <row r="347">
      <c r="A347" s="3" t="inlineStr">
        <is>
          <t>2026-S32</t>
        </is>
      </c>
      <c r="B347" s="3" t="inlineStr">
        <is>
          <t>lunes</t>
        </is>
      </c>
      <c r="C347" s="3" t="inlineStr">
        <is>
          <t>Técnico 02</t>
        </is>
      </c>
      <c r="D347" s="3">
        <f>_xlfn.XLOOKUP(tblAsignaciones[[#This Row],[tecnico]],tblTecnicos[nombre],tblTecnicos[area],"")</f>
        <v/>
      </c>
      <c r="E347" s="3">
        <f>_xlfn.XLOOKUP(tblAsignaciones[[#This Row],[tecnico]],tblTecnicos[nombre],tblTecnicos[especialidad],"")</f>
        <v/>
      </c>
      <c r="F347" s="3">
        <f>COUNTIFS(tblTecnicos[rotativo],"SI",tblTecnicos[especialidad],tblAsignaciones[[#This Row],[especialidad]],tblTecnicos[area],tblAsignaciones[[#This Row],[area]])</f>
        <v/>
      </c>
      <c r="G3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6" t="n"/>
      <c r="I347" s="3">
        <f>IF(tblAsignaciones[[#This Row],[turno_manual]]&lt;&gt;"",tblAsignaciones[[#This Row],[turno_manual]],IF(LEFT(tblAsignaciones[[#This Row],[posicion_ciclo]],1)="B","B",tblAsignaciones[[#This Row],[posicion_ciclo]]))</f>
        <v/>
      </c>
      <c r="J347" s="3">
        <f>_xlfn.XLOOKUP(tblAsignaciones[[#This Row],[tecnico]],tblTecnicos[nombre],tblTecnicos[coordinador],"")</f>
        <v/>
      </c>
      <c r="K3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7" s="3">
        <f>tblAsignaciones[[#This Row],[semana]]&amp;"|"&amp;tblAsignaciones[[#This Row],[dia]]&amp;"|"&amp;tblAsignaciones[[#This Row],[tecnico]]</f>
        <v/>
      </c>
      <c r="N347" s="3">
        <f>_xlfn.XLOOKUP(tblAsignaciones[[#This Row],[turno]],tblTurnos[turno],tblTurnos[hora_inicio],"")</f>
        <v/>
      </c>
      <c r="O347" s="3">
        <f>_xlfn.XLOOKUP(tblAsignaciones[[#This Row],[turno]],tblTurnos[turno],tblTurnos[hora_fin],"")</f>
        <v/>
      </c>
    </row>
    <row r="348">
      <c r="A348" s="3" t="inlineStr">
        <is>
          <t>2026-S32</t>
        </is>
      </c>
      <c r="B348" s="3" t="inlineStr">
        <is>
          <t>martes</t>
        </is>
      </c>
      <c r="C348" s="3" t="inlineStr">
        <is>
          <t>Técnico 02</t>
        </is>
      </c>
      <c r="D348" s="3">
        <f>_xlfn.XLOOKUP(tblAsignaciones[[#This Row],[tecnico]],tblTecnicos[nombre],tblTecnicos[area],"")</f>
        <v/>
      </c>
      <c r="E348" s="3">
        <f>_xlfn.XLOOKUP(tblAsignaciones[[#This Row],[tecnico]],tblTecnicos[nombre],tblTecnicos[especialidad],"")</f>
        <v/>
      </c>
      <c r="F348" s="3">
        <f>COUNTIFS(tblTecnicos[rotativo],"SI",tblTecnicos[especialidad],tblAsignaciones[[#This Row],[especialidad]],tblTecnicos[area],tblAsignaciones[[#This Row],[area]])</f>
        <v/>
      </c>
      <c r="G3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6" t="n"/>
      <c r="I348" s="3">
        <f>IF(tblAsignaciones[[#This Row],[turno_manual]]&lt;&gt;"",tblAsignaciones[[#This Row],[turno_manual]],IF(LEFT(tblAsignaciones[[#This Row],[posicion_ciclo]],1)="B","B",tblAsignaciones[[#This Row],[posicion_ciclo]]))</f>
        <v/>
      </c>
      <c r="J348" s="3">
        <f>_xlfn.XLOOKUP(tblAsignaciones[[#This Row],[tecnico]],tblTecnicos[nombre],tblTecnicos[coordinador],"")</f>
        <v/>
      </c>
      <c r="K3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8" s="3">
        <f>tblAsignaciones[[#This Row],[semana]]&amp;"|"&amp;tblAsignaciones[[#This Row],[dia]]&amp;"|"&amp;tblAsignaciones[[#This Row],[tecnico]]</f>
        <v/>
      </c>
      <c r="N348" s="3">
        <f>_xlfn.XLOOKUP(tblAsignaciones[[#This Row],[turno]],tblTurnos[turno],tblTurnos[hora_inicio],"")</f>
        <v/>
      </c>
      <c r="O348" s="3">
        <f>_xlfn.XLOOKUP(tblAsignaciones[[#This Row],[turno]],tblTurnos[turno],tblTurnos[hora_fin],"")</f>
        <v/>
      </c>
    </row>
    <row r="349">
      <c r="A349" s="3" t="inlineStr">
        <is>
          <t>2026-S32</t>
        </is>
      </c>
      <c r="B349" s="3" t="inlineStr">
        <is>
          <t>miércoles</t>
        </is>
      </c>
      <c r="C349" s="3" t="inlineStr">
        <is>
          <t>Técnico 02</t>
        </is>
      </c>
      <c r="D349" s="3">
        <f>_xlfn.XLOOKUP(tblAsignaciones[[#This Row],[tecnico]],tblTecnicos[nombre],tblTecnicos[area],"")</f>
        <v/>
      </c>
      <c r="E349" s="3">
        <f>_xlfn.XLOOKUP(tblAsignaciones[[#This Row],[tecnico]],tblTecnicos[nombre],tblTecnicos[especialidad],"")</f>
        <v/>
      </c>
      <c r="F349" s="3">
        <f>COUNTIFS(tblTecnicos[rotativo],"SI",tblTecnicos[especialidad],tblAsignaciones[[#This Row],[especialidad]],tblTecnicos[area],tblAsignaciones[[#This Row],[area]])</f>
        <v/>
      </c>
      <c r="G3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6" t="n"/>
      <c r="I349" s="3">
        <f>IF(tblAsignaciones[[#This Row],[turno_manual]]&lt;&gt;"",tblAsignaciones[[#This Row],[turno_manual]],IF(LEFT(tblAsignaciones[[#This Row],[posicion_ciclo]],1)="B","B",tblAsignaciones[[#This Row],[posicion_ciclo]]))</f>
        <v/>
      </c>
      <c r="J349" s="3">
        <f>_xlfn.XLOOKUP(tblAsignaciones[[#This Row],[tecnico]],tblTecnicos[nombre],tblTecnicos[coordinador],"")</f>
        <v/>
      </c>
      <c r="K3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49" s="3">
        <f>tblAsignaciones[[#This Row],[semana]]&amp;"|"&amp;tblAsignaciones[[#This Row],[dia]]&amp;"|"&amp;tblAsignaciones[[#This Row],[tecnico]]</f>
        <v/>
      </c>
      <c r="N349" s="3">
        <f>_xlfn.XLOOKUP(tblAsignaciones[[#This Row],[turno]],tblTurnos[turno],tblTurnos[hora_inicio],"")</f>
        <v/>
      </c>
      <c r="O349" s="3">
        <f>_xlfn.XLOOKUP(tblAsignaciones[[#This Row],[turno]],tblTurnos[turno],tblTurnos[hora_fin],"")</f>
        <v/>
      </c>
    </row>
    <row r="350">
      <c r="A350" s="3" t="inlineStr">
        <is>
          <t>2026-S32</t>
        </is>
      </c>
      <c r="B350" s="3" t="inlineStr">
        <is>
          <t>jueves</t>
        </is>
      </c>
      <c r="C350" s="3" t="inlineStr">
        <is>
          <t>Técnico 02</t>
        </is>
      </c>
      <c r="D350" s="3">
        <f>_xlfn.XLOOKUP(tblAsignaciones[[#This Row],[tecnico]],tblTecnicos[nombre],tblTecnicos[area],"")</f>
        <v/>
      </c>
      <c r="E350" s="3">
        <f>_xlfn.XLOOKUP(tblAsignaciones[[#This Row],[tecnico]],tblTecnicos[nombre],tblTecnicos[especialidad],"")</f>
        <v/>
      </c>
      <c r="F350" s="3">
        <f>COUNTIFS(tblTecnicos[rotativo],"SI",tblTecnicos[especialidad],tblAsignaciones[[#This Row],[especialidad]],tblTecnicos[area],tblAsignaciones[[#This Row],[area]])</f>
        <v/>
      </c>
      <c r="G3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6" t="n"/>
      <c r="I350" s="3">
        <f>IF(tblAsignaciones[[#This Row],[turno_manual]]&lt;&gt;"",tblAsignaciones[[#This Row],[turno_manual]],IF(LEFT(tblAsignaciones[[#This Row],[posicion_ciclo]],1)="B","B",tblAsignaciones[[#This Row],[posicion_ciclo]]))</f>
        <v/>
      </c>
      <c r="J350" s="3">
        <f>_xlfn.XLOOKUP(tblAsignaciones[[#This Row],[tecnico]],tblTecnicos[nombre],tblTecnicos[coordinador],"")</f>
        <v/>
      </c>
      <c r="K3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0" s="3">
        <f>tblAsignaciones[[#This Row],[semana]]&amp;"|"&amp;tblAsignaciones[[#This Row],[dia]]&amp;"|"&amp;tblAsignaciones[[#This Row],[tecnico]]</f>
        <v/>
      </c>
      <c r="N350" s="3">
        <f>_xlfn.XLOOKUP(tblAsignaciones[[#This Row],[turno]],tblTurnos[turno],tblTurnos[hora_inicio],"")</f>
        <v/>
      </c>
      <c r="O350" s="3">
        <f>_xlfn.XLOOKUP(tblAsignaciones[[#This Row],[turno]],tblTurnos[turno],tblTurnos[hora_fin],"")</f>
        <v/>
      </c>
    </row>
    <row r="351">
      <c r="A351" s="3" t="inlineStr">
        <is>
          <t>2026-S32</t>
        </is>
      </c>
      <c r="B351" s="3" t="inlineStr">
        <is>
          <t>viernes</t>
        </is>
      </c>
      <c r="C351" s="3" t="inlineStr">
        <is>
          <t>Técnico 02</t>
        </is>
      </c>
      <c r="D351" s="3">
        <f>_xlfn.XLOOKUP(tblAsignaciones[[#This Row],[tecnico]],tblTecnicos[nombre],tblTecnicos[area],"")</f>
        <v/>
      </c>
      <c r="E351" s="3">
        <f>_xlfn.XLOOKUP(tblAsignaciones[[#This Row],[tecnico]],tblTecnicos[nombre],tblTecnicos[especialidad],"")</f>
        <v/>
      </c>
      <c r="F351" s="3">
        <f>COUNTIFS(tblTecnicos[rotativo],"SI",tblTecnicos[especialidad],tblAsignaciones[[#This Row],[especialidad]],tblTecnicos[area],tblAsignaciones[[#This Row],[area]])</f>
        <v/>
      </c>
      <c r="G3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6" t="n"/>
      <c r="I351" s="3">
        <f>IF(tblAsignaciones[[#This Row],[turno_manual]]&lt;&gt;"",tblAsignaciones[[#This Row],[turno_manual]],IF(LEFT(tblAsignaciones[[#This Row],[posicion_ciclo]],1)="B","B",tblAsignaciones[[#This Row],[posicion_ciclo]]))</f>
        <v/>
      </c>
      <c r="J351" s="3">
        <f>_xlfn.XLOOKUP(tblAsignaciones[[#This Row],[tecnico]],tblTecnicos[nombre],tblTecnicos[coordinador],"")</f>
        <v/>
      </c>
      <c r="K3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1" s="3">
        <f>tblAsignaciones[[#This Row],[semana]]&amp;"|"&amp;tblAsignaciones[[#This Row],[dia]]&amp;"|"&amp;tblAsignaciones[[#This Row],[tecnico]]</f>
        <v/>
      </c>
      <c r="N351" s="3">
        <f>_xlfn.XLOOKUP(tblAsignaciones[[#This Row],[turno]],tblTurnos[turno],tblTurnos[hora_inicio],"")</f>
        <v/>
      </c>
      <c r="O351" s="3">
        <f>_xlfn.XLOOKUP(tblAsignaciones[[#This Row],[turno]],tblTurnos[turno],tblTurnos[hora_fin],"")</f>
        <v/>
      </c>
    </row>
    <row r="352">
      <c r="A352" s="3" t="inlineStr">
        <is>
          <t>2026-S32</t>
        </is>
      </c>
      <c r="B352" s="3" t="inlineStr">
        <is>
          <t>sábado</t>
        </is>
      </c>
      <c r="C352" s="3" t="inlineStr">
        <is>
          <t>Técnico 02</t>
        </is>
      </c>
      <c r="D352" s="3">
        <f>_xlfn.XLOOKUP(tblAsignaciones[[#This Row],[tecnico]],tblTecnicos[nombre],tblTecnicos[area],"")</f>
        <v/>
      </c>
      <c r="E352" s="3">
        <f>_xlfn.XLOOKUP(tblAsignaciones[[#This Row],[tecnico]],tblTecnicos[nombre],tblTecnicos[especialidad],"")</f>
        <v/>
      </c>
      <c r="F352" s="3">
        <f>COUNTIFS(tblTecnicos[rotativo],"SI",tblTecnicos[especialidad],tblAsignaciones[[#This Row],[especialidad]],tblTecnicos[area],tblAsignaciones[[#This Row],[area]])</f>
        <v/>
      </c>
      <c r="G3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6" t="n"/>
      <c r="I352" s="3">
        <f>IF(tblAsignaciones[[#This Row],[turno_manual]]&lt;&gt;"",tblAsignaciones[[#This Row],[turno_manual]],IF(LEFT(tblAsignaciones[[#This Row],[posicion_ciclo]],1)="B","B",tblAsignaciones[[#This Row],[posicion_ciclo]]))</f>
        <v/>
      </c>
      <c r="J352" s="3">
        <f>_xlfn.XLOOKUP(tblAsignaciones[[#This Row],[tecnico]],tblTecnicos[nombre],tblTecnicos[coordinador],"")</f>
        <v/>
      </c>
      <c r="K3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2" s="3">
        <f>tblAsignaciones[[#This Row],[semana]]&amp;"|"&amp;tblAsignaciones[[#This Row],[dia]]&amp;"|"&amp;tblAsignaciones[[#This Row],[tecnico]]</f>
        <v/>
      </c>
      <c r="N352" s="3">
        <f>_xlfn.XLOOKUP(tblAsignaciones[[#This Row],[turno]],tblTurnos[turno],tblTurnos[hora_inicio],"")</f>
        <v/>
      </c>
      <c r="O352" s="3">
        <f>_xlfn.XLOOKUP(tblAsignaciones[[#This Row],[turno]],tblTurnos[turno],tblTurnos[hora_fin],"")</f>
        <v/>
      </c>
    </row>
    <row r="353">
      <c r="A353" s="3" t="inlineStr">
        <is>
          <t>2026-S32</t>
        </is>
      </c>
      <c r="B353" s="3" t="inlineStr">
        <is>
          <t>domingo</t>
        </is>
      </c>
      <c r="C353" s="3" t="inlineStr">
        <is>
          <t>Técnico 02</t>
        </is>
      </c>
      <c r="D353" s="3">
        <f>_xlfn.XLOOKUP(tblAsignaciones[[#This Row],[tecnico]],tblTecnicos[nombre],tblTecnicos[area],"")</f>
        <v/>
      </c>
      <c r="E353" s="3">
        <f>_xlfn.XLOOKUP(tblAsignaciones[[#This Row],[tecnico]],tblTecnicos[nombre],tblTecnicos[especialidad],"")</f>
        <v/>
      </c>
      <c r="F353" s="3">
        <f>COUNTIFS(tblTecnicos[rotativo],"SI",tblTecnicos[especialidad],tblAsignaciones[[#This Row],[especialidad]],tblTecnicos[area],tblAsignaciones[[#This Row],[area]])</f>
        <v/>
      </c>
      <c r="G3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6" t="n"/>
      <c r="I353" s="3">
        <f>IF(tblAsignaciones[[#This Row],[turno_manual]]&lt;&gt;"",tblAsignaciones[[#This Row],[turno_manual]],IF(LEFT(tblAsignaciones[[#This Row],[posicion_ciclo]],1)="B","B",tblAsignaciones[[#This Row],[posicion_ciclo]]))</f>
        <v/>
      </c>
      <c r="J353" s="3">
        <f>_xlfn.XLOOKUP(tblAsignaciones[[#This Row],[tecnico]],tblTecnicos[nombre],tblTecnicos[coordinador],"")</f>
        <v/>
      </c>
      <c r="K3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3" s="3">
        <f>tblAsignaciones[[#This Row],[semana]]&amp;"|"&amp;tblAsignaciones[[#This Row],[dia]]&amp;"|"&amp;tblAsignaciones[[#This Row],[tecnico]]</f>
        <v/>
      </c>
      <c r="N353" s="3">
        <f>_xlfn.XLOOKUP(tblAsignaciones[[#This Row],[turno]],tblTurnos[turno],tblTurnos[hora_inicio],"")</f>
        <v/>
      </c>
      <c r="O353" s="3">
        <f>_xlfn.XLOOKUP(tblAsignaciones[[#This Row],[turno]],tblTurnos[turno],tblTurnos[hora_fin],"")</f>
        <v/>
      </c>
    </row>
    <row r="354">
      <c r="A354" s="3" t="inlineStr">
        <is>
          <t>2026-S32</t>
        </is>
      </c>
      <c r="B354" s="3" t="inlineStr">
        <is>
          <t>lunes</t>
        </is>
      </c>
      <c r="C354" s="3" t="inlineStr">
        <is>
          <t>Técnico 03</t>
        </is>
      </c>
      <c r="D354" s="3">
        <f>_xlfn.XLOOKUP(tblAsignaciones[[#This Row],[tecnico]],tblTecnicos[nombre],tblTecnicos[area],"")</f>
        <v/>
      </c>
      <c r="E354" s="3">
        <f>_xlfn.XLOOKUP(tblAsignaciones[[#This Row],[tecnico]],tblTecnicos[nombre],tblTecnicos[especialidad],"")</f>
        <v/>
      </c>
      <c r="F354" s="3">
        <f>COUNTIFS(tblTecnicos[rotativo],"SI",tblTecnicos[especialidad],tblAsignaciones[[#This Row],[especialidad]],tblTecnicos[area],tblAsignaciones[[#This Row],[area]])</f>
        <v/>
      </c>
      <c r="G3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6" t="n"/>
      <c r="I354" s="3">
        <f>IF(tblAsignaciones[[#This Row],[turno_manual]]&lt;&gt;"",tblAsignaciones[[#This Row],[turno_manual]],IF(LEFT(tblAsignaciones[[#This Row],[posicion_ciclo]],1)="B","B",tblAsignaciones[[#This Row],[posicion_ciclo]]))</f>
        <v/>
      </c>
      <c r="J354" s="3">
        <f>_xlfn.XLOOKUP(tblAsignaciones[[#This Row],[tecnico]],tblTecnicos[nombre],tblTecnicos[coordinador],"")</f>
        <v/>
      </c>
      <c r="K3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4" s="3">
        <f>tblAsignaciones[[#This Row],[semana]]&amp;"|"&amp;tblAsignaciones[[#This Row],[dia]]&amp;"|"&amp;tblAsignaciones[[#This Row],[tecnico]]</f>
        <v/>
      </c>
      <c r="N354" s="3">
        <f>_xlfn.XLOOKUP(tblAsignaciones[[#This Row],[turno]],tblTurnos[turno],tblTurnos[hora_inicio],"")</f>
        <v/>
      </c>
      <c r="O354" s="3">
        <f>_xlfn.XLOOKUP(tblAsignaciones[[#This Row],[turno]],tblTurnos[turno],tblTurnos[hora_fin],"")</f>
        <v/>
      </c>
    </row>
    <row r="355">
      <c r="A355" s="3" t="inlineStr">
        <is>
          <t>2026-S32</t>
        </is>
      </c>
      <c r="B355" s="3" t="inlineStr">
        <is>
          <t>martes</t>
        </is>
      </c>
      <c r="C355" s="3" t="inlineStr">
        <is>
          <t>Técnico 03</t>
        </is>
      </c>
      <c r="D355" s="3">
        <f>_xlfn.XLOOKUP(tblAsignaciones[[#This Row],[tecnico]],tblTecnicos[nombre],tblTecnicos[area],"")</f>
        <v/>
      </c>
      <c r="E355" s="3">
        <f>_xlfn.XLOOKUP(tblAsignaciones[[#This Row],[tecnico]],tblTecnicos[nombre],tblTecnicos[especialidad],"")</f>
        <v/>
      </c>
      <c r="F355" s="3">
        <f>COUNTIFS(tblTecnicos[rotativo],"SI",tblTecnicos[especialidad],tblAsignaciones[[#This Row],[especialidad]],tblTecnicos[area],tblAsignaciones[[#This Row],[area]])</f>
        <v/>
      </c>
      <c r="G3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6" t="n"/>
      <c r="I355" s="3">
        <f>IF(tblAsignaciones[[#This Row],[turno_manual]]&lt;&gt;"",tblAsignaciones[[#This Row],[turno_manual]],IF(LEFT(tblAsignaciones[[#This Row],[posicion_ciclo]],1)="B","B",tblAsignaciones[[#This Row],[posicion_ciclo]]))</f>
        <v/>
      </c>
      <c r="J355" s="3">
        <f>_xlfn.XLOOKUP(tblAsignaciones[[#This Row],[tecnico]],tblTecnicos[nombre],tblTecnicos[coordinador],"")</f>
        <v/>
      </c>
      <c r="K3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5" s="3">
        <f>tblAsignaciones[[#This Row],[semana]]&amp;"|"&amp;tblAsignaciones[[#This Row],[dia]]&amp;"|"&amp;tblAsignaciones[[#This Row],[tecnico]]</f>
        <v/>
      </c>
      <c r="N355" s="3">
        <f>_xlfn.XLOOKUP(tblAsignaciones[[#This Row],[turno]],tblTurnos[turno],tblTurnos[hora_inicio],"")</f>
        <v/>
      </c>
      <c r="O355" s="3">
        <f>_xlfn.XLOOKUP(tblAsignaciones[[#This Row],[turno]],tblTurnos[turno],tblTurnos[hora_fin],"")</f>
        <v/>
      </c>
    </row>
    <row r="356">
      <c r="A356" s="3" t="inlineStr">
        <is>
          <t>2026-S32</t>
        </is>
      </c>
      <c r="B356" s="3" t="inlineStr">
        <is>
          <t>miércoles</t>
        </is>
      </c>
      <c r="C356" s="3" t="inlineStr">
        <is>
          <t>Técnico 03</t>
        </is>
      </c>
      <c r="D356" s="3">
        <f>_xlfn.XLOOKUP(tblAsignaciones[[#This Row],[tecnico]],tblTecnicos[nombre],tblTecnicos[area],"")</f>
        <v/>
      </c>
      <c r="E356" s="3">
        <f>_xlfn.XLOOKUP(tblAsignaciones[[#This Row],[tecnico]],tblTecnicos[nombre],tblTecnicos[especialidad],"")</f>
        <v/>
      </c>
      <c r="F356" s="3">
        <f>COUNTIFS(tblTecnicos[rotativo],"SI",tblTecnicos[especialidad],tblAsignaciones[[#This Row],[especialidad]],tblTecnicos[area],tblAsignaciones[[#This Row],[area]])</f>
        <v/>
      </c>
      <c r="G3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6" t="n"/>
      <c r="I356" s="3">
        <f>IF(tblAsignaciones[[#This Row],[turno_manual]]&lt;&gt;"",tblAsignaciones[[#This Row],[turno_manual]],IF(LEFT(tblAsignaciones[[#This Row],[posicion_ciclo]],1)="B","B",tblAsignaciones[[#This Row],[posicion_ciclo]]))</f>
        <v/>
      </c>
      <c r="J356" s="3">
        <f>_xlfn.XLOOKUP(tblAsignaciones[[#This Row],[tecnico]],tblTecnicos[nombre],tblTecnicos[coordinador],"")</f>
        <v/>
      </c>
      <c r="K3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6" s="3">
        <f>tblAsignaciones[[#This Row],[semana]]&amp;"|"&amp;tblAsignaciones[[#This Row],[dia]]&amp;"|"&amp;tblAsignaciones[[#This Row],[tecnico]]</f>
        <v/>
      </c>
      <c r="N356" s="3">
        <f>_xlfn.XLOOKUP(tblAsignaciones[[#This Row],[turno]],tblTurnos[turno],tblTurnos[hora_inicio],"")</f>
        <v/>
      </c>
      <c r="O356" s="3">
        <f>_xlfn.XLOOKUP(tblAsignaciones[[#This Row],[turno]],tblTurnos[turno],tblTurnos[hora_fin],"")</f>
        <v/>
      </c>
    </row>
    <row r="357">
      <c r="A357" s="3" t="inlineStr">
        <is>
          <t>2026-S32</t>
        </is>
      </c>
      <c r="B357" s="3" t="inlineStr">
        <is>
          <t>jueves</t>
        </is>
      </c>
      <c r="C357" s="3" t="inlineStr">
        <is>
          <t>Técnico 03</t>
        </is>
      </c>
      <c r="D357" s="3">
        <f>_xlfn.XLOOKUP(tblAsignaciones[[#This Row],[tecnico]],tblTecnicos[nombre],tblTecnicos[area],"")</f>
        <v/>
      </c>
      <c r="E357" s="3">
        <f>_xlfn.XLOOKUP(tblAsignaciones[[#This Row],[tecnico]],tblTecnicos[nombre],tblTecnicos[especialidad],"")</f>
        <v/>
      </c>
      <c r="F357" s="3">
        <f>COUNTIFS(tblTecnicos[rotativo],"SI",tblTecnicos[especialidad],tblAsignaciones[[#This Row],[especialidad]],tblTecnicos[area],tblAsignaciones[[#This Row],[area]])</f>
        <v/>
      </c>
      <c r="G3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6" t="n"/>
      <c r="I357" s="3">
        <f>IF(tblAsignaciones[[#This Row],[turno_manual]]&lt;&gt;"",tblAsignaciones[[#This Row],[turno_manual]],IF(LEFT(tblAsignaciones[[#This Row],[posicion_ciclo]],1)="B","B",tblAsignaciones[[#This Row],[posicion_ciclo]]))</f>
        <v/>
      </c>
      <c r="J357" s="3">
        <f>_xlfn.XLOOKUP(tblAsignaciones[[#This Row],[tecnico]],tblTecnicos[nombre],tblTecnicos[coordinador],"")</f>
        <v/>
      </c>
      <c r="K3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7" s="3">
        <f>tblAsignaciones[[#This Row],[semana]]&amp;"|"&amp;tblAsignaciones[[#This Row],[dia]]&amp;"|"&amp;tblAsignaciones[[#This Row],[tecnico]]</f>
        <v/>
      </c>
      <c r="N357" s="3">
        <f>_xlfn.XLOOKUP(tblAsignaciones[[#This Row],[turno]],tblTurnos[turno],tblTurnos[hora_inicio],"")</f>
        <v/>
      </c>
      <c r="O357" s="3">
        <f>_xlfn.XLOOKUP(tblAsignaciones[[#This Row],[turno]],tblTurnos[turno],tblTurnos[hora_fin],"")</f>
        <v/>
      </c>
    </row>
    <row r="358">
      <c r="A358" s="3" t="inlineStr">
        <is>
          <t>2026-S32</t>
        </is>
      </c>
      <c r="B358" s="3" t="inlineStr">
        <is>
          <t>viernes</t>
        </is>
      </c>
      <c r="C358" s="3" t="inlineStr">
        <is>
          <t>Técnico 03</t>
        </is>
      </c>
      <c r="D358" s="3">
        <f>_xlfn.XLOOKUP(tblAsignaciones[[#This Row],[tecnico]],tblTecnicos[nombre],tblTecnicos[area],"")</f>
        <v/>
      </c>
      <c r="E358" s="3">
        <f>_xlfn.XLOOKUP(tblAsignaciones[[#This Row],[tecnico]],tblTecnicos[nombre],tblTecnicos[especialidad],"")</f>
        <v/>
      </c>
      <c r="F358" s="3">
        <f>COUNTIFS(tblTecnicos[rotativo],"SI",tblTecnicos[especialidad],tblAsignaciones[[#This Row],[especialidad]],tblTecnicos[area],tblAsignaciones[[#This Row],[area]])</f>
        <v/>
      </c>
      <c r="G3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6" t="n"/>
      <c r="I358" s="3">
        <f>IF(tblAsignaciones[[#This Row],[turno_manual]]&lt;&gt;"",tblAsignaciones[[#This Row],[turno_manual]],IF(LEFT(tblAsignaciones[[#This Row],[posicion_ciclo]],1)="B","B",tblAsignaciones[[#This Row],[posicion_ciclo]]))</f>
        <v/>
      </c>
      <c r="J358" s="3">
        <f>_xlfn.XLOOKUP(tblAsignaciones[[#This Row],[tecnico]],tblTecnicos[nombre],tblTecnicos[coordinador],"")</f>
        <v/>
      </c>
      <c r="K3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8" s="3">
        <f>tblAsignaciones[[#This Row],[semana]]&amp;"|"&amp;tblAsignaciones[[#This Row],[dia]]&amp;"|"&amp;tblAsignaciones[[#This Row],[tecnico]]</f>
        <v/>
      </c>
      <c r="N358" s="3">
        <f>_xlfn.XLOOKUP(tblAsignaciones[[#This Row],[turno]],tblTurnos[turno],tblTurnos[hora_inicio],"")</f>
        <v/>
      </c>
      <c r="O358" s="3">
        <f>_xlfn.XLOOKUP(tblAsignaciones[[#This Row],[turno]],tblTurnos[turno],tblTurnos[hora_fin],"")</f>
        <v/>
      </c>
    </row>
    <row r="359">
      <c r="A359" s="3" t="inlineStr">
        <is>
          <t>2026-S32</t>
        </is>
      </c>
      <c r="B359" s="3" t="inlineStr">
        <is>
          <t>sábado</t>
        </is>
      </c>
      <c r="C359" s="3" t="inlineStr">
        <is>
          <t>Técnico 03</t>
        </is>
      </c>
      <c r="D359" s="3">
        <f>_xlfn.XLOOKUP(tblAsignaciones[[#This Row],[tecnico]],tblTecnicos[nombre],tblTecnicos[area],"")</f>
        <v/>
      </c>
      <c r="E359" s="3">
        <f>_xlfn.XLOOKUP(tblAsignaciones[[#This Row],[tecnico]],tblTecnicos[nombre],tblTecnicos[especialidad],"")</f>
        <v/>
      </c>
      <c r="F359" s="3">
        <f>COUNTIFS(tblTecnicos[rotativo],"SI",tblTecnicos[especialidad],tblAsignaciones[[#This Row],[especialidad]],tblTecnicos[area],tblAsignaciones[[#This Row],[area]])</f>
        <v/>
      </c>
      <c r="G3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6" t="n"/>
      <c r="I359" s="3">
        <f>IF(tblAsignaciones[[#This Row],[turno_manual]]&lt;&gt;"",tblAsignaciones[[#This Row],[turno_manual]],IF(LEFT(tblAsignaciones[[#This Row],[posicion_ciclo]],1)="B","B",tblAsignaciones[[#This Row],[posicion_ciclo]]))</f>
        <v/>
      </c>
      <c r="J359" s="3">
        <f>_xlfn.XLOOKUP(tblAsignaciones[[#This Row],[tecnico]],tblTecnicos[nombre],tblTecnicos[coordinador],"")</f>
        <v/>
      </c>
      <c r="K3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59" s="3">
        <f>tblAsignaciones[[#This Row],[semana]]&amp;"|"&amp;tblAsignaciones[[#This Row],[dia]]&amp;"|"&amp;tblAsignaciones[[#This Row],[tecnico]]</f>
        <v/>
      </c>
      <c r="N359" s="3">
        <f>_xlfn.XLOOKUP(tblAsignaciones[[#This Row],[turno]],tblTurnos[turno],tblTurnos[hora_inicio],"")</f>
        <v/>
      </c>
      <c r="O359" s="3">
        <f>_xlfn.XLOOKUP(tblAsignaciones[[#This Row],[turno]],tblTurnos[turno],tblTurnos[hora_fin],"")</f>
        <v/>
      </c>
    </row>
    <row r="360">
      <c r="A360" s="3" t="inlineStr">
        <is>
          <t>2026-S32</t>
        </is>
      </c>
      <c r="B360" s="3" t="inlineStr">
        <is>
          <t>domingo</t>
        </is>
      </c>
      <c r="C360" s="3" t="inlineStr">
        <is>
          <t>Técnico 03</t>
        </is>
      </c>
      <c r="D360" s="3">
        <f>_xlfn.XLOOKUP(tblAsignaciones[[#This Row],[tecnico]],tblTecnicos[nombre],tblTecnicos[area],"")</f>
        <v/>
      </c>
      <c r="E360" s="3">
        <f>_xlfn.XLOOKUP(tblAsignaciones[[#This Row],[tecnico]],tblTecnicos[nombre],tblTecnicos[especialidad],"")</f>
        <v/>
      </c>
      <c r="F360" s="3">
        <f>COUNTIFS(tblTecnicos[rotativo],"SI",tblTecnicos[especialidad],tblAsignaciones[[#This Row],[especialidad]],tblTecnicos[area],tblAsignaciones[[#This Row],[area]])</f>
        <v/>
      </c>
      <c r="G3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6" t="n"/>
      <c r="I360" s="3">
        <f>IF(tblAsignaciones[[#This Row],[turno_manual]]&lt;&gt;"",tblAsignaciones[[#This Row],[turno_manual]],IF(LEFT(tblAsignaciones[[#This Row],[posicion_ciclo]],1)="B","B",tblAsignaciones[[#This Row],[posicion_ciclo]]))</f>
        <v/>
      </c>
      <c r="J360" s="3">
        <f>_xlfn.XLOOKUP(tblAsignaciones[[#This Row],[tecnico]],tblTecnicos[nombre],tblTecnicos[coordinador],"")</f>
        <v/>
      </c>
      <c r="K3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0" s="3">
        <f>tblAsignaciones[[#This Row],[semana]]&amp;"|"&amp;tblAsignaciones[[#This Row],[dia]]&amp;"|"&amp;tblAsignaciones[[#This Row],[tecnico]]</f>
        <v/>
      </c>
      <c r="N360" s="3">
        <f>_xlfn.XLOOKUP(tblAsignaciones[[#This Row],[turno]],tblTurnos[turno],tblTurnos[hora_inicio],"")</f>
        <v/>
      </c>
      <c r="O360" s="3">
        <f>_xlfn.XLOOKUP(tblAsignaciones[[#This Row],[turno]],tblTurnos[turno],tblTurnos[hora_fin],"")</f>
        <v/>
      </c>
    </row>
    <row r="361">
      <c r="A361" s="3" t="inlineStr">
        <is>
          <t>2026-S32</t>
        </is>
      </c>
      <c r="B361" s="3" t="inlineStr">
        <is>
          <t>lunes</t>
        </is>
      </c>
      <c r="C361" s="3" t="inlineStr">
        <is>
          <t>Técnico 04</t>
        </is>
      </c>
      <c r="D361" s="3">
        <f>_xlfn.XLOOKUP(tblAsignaciones[[#This Row],[tecnico]],tblTecnicos[nombre],tblTecnicos[area],"")</f>
        <v/>
      </c>
      <c r="E361" s="3">
        <f>_xlfn.XLOOKUP(tblAsignaciones[[#This Row],[tecnico]],tblTecnicos[nombre],tblTecnicos[especialidad],"")</f>
        <v/>
      </c>
      <c r="F361" s="3">
        <f>COUNTIFS(tblTecnicos[rotativo],"SI",tblTecnicos[especialidad],tblAsignaciones[[#This Row],[especialidad]],tblTecnicos[area],tblAsignaciones[[#This Row],[area]])</f>
        <v/>
      </c>
      <c r="G3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6" t="n"/>
      <c r="I361" s="3">
        <f>IF(tblAsignaciones[[#This Row],[turno_manual]]&lt;&gt;"",tblAsignaciones[[#This Row],[turno_manual]],IF(LEFT(tblAsignaciones[[#This Row],[posicion_ciclo]],1)="B","B",tblAsignaciones[[#This Row],[posicion_ciclo]]))</f>
        <v/>
      </c>
      <c r="J361" s="3">
        <f>_xlfn.XLOOKUP(tblAsignaciones[[#This Row],[tecnico]],tblTecnicos[nombre],tblTecnicos[coordinador],"")</f>
        <v/>
      </c>
      <c r="K3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1" s="3">
        <f>tblAsignaciones[[#This Row],[semana]]&amp;"|"&amp;tblAsignaciones[[#This Row],[dia]]&amp;"|"&amp;tblAsignaciones[[#This Row],[tecnico]]</f>
        <v/>
      </c>
      <c r="N361" s="3">
        <f>_xlfn.XLOOKUP(tblAsignaciones[[#This Row],[turno]],tblTurnos[turno],tblTurnos[hora_inicio],"")</f>
        <v/>
      </c>
      <c r="O361" s="3">
        <f>_xlfn.XLOOKUP(tblAsignaciones[[#This Row],[turno]],tblTurnos[turno],tblTurnos[hora_fin],"")</f>
        <v/>
      </c>
    </row>
    <row r="362">
      <c r="A362" s="3" t="inlineStr">
        <is>
          <t>2026-S32</t>
        </is>
      </c>
      <c r="B362" s="3" t="inlineStr">
        <is>
          <t>martes</t>
        </is>
      </c>
      <c r="C362" s="3" t="inlineStr">
        <is>
          <t>Técnico 04</t>
        </is>
      </c>
      <c r="D362" s="3">
        <f>_xlfn.XLOOKUP(tblAsignaciones[[#This Row],[tecnico]],tblTecnicos[nombre],tblTecnicos[area],"")</f>
        <v/>
      </c>
      <c r="E362" s="3">
        <f>_xlfn.XLOOKUP(tblAsignaciones[[#This Row],[tecnico]],tblTecnicos[nombre],tblTecnicos[especialidad],"")</f>
        <v/>
      </c>
      <c r="F362" s="3">
        <f>COUNTIFS(tblTecnicos[rotativo],"SI",tblTecnicos[especialidad],tblAsignaciones[[#This Row],[especialidad]],tblTecnicos[area],tblAsignaciones[[#This Row],[area]])</f>
        <v/>
      </c>
      <c r="G3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6" t="n"/>
      <c r="I362" s="3">
        <f>IF(tblAsignaciones[[#This Row],[turno_manual]]&lt;&gt;"",tblAsignaciones[[#This Row],[turno_manual]],IF(LEFT(tblAsignaciones[[#This Row],[posicion_ciclo]],1)="B","B",tblAsignaciones[[#This Row],[posicion_ciclo]]))</f>
        <v/>
      </c>
      <c r="J362" s="3">
        <f>_xlfn.XLOOKUP(tblAsignaciones[[#This Row],[tecnico]],tblTecnicos[nombre],tblTecnicos[coordinador],"")</f>
        <v/>
      </c>
      <c r="K3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2" s="3">
        <f>tblAsignaciones[[#This Row],[semana]]&amp;"|"&amp;tblAsignaciones[[#This Row],[dia]]&amp;"|"&amp;tblAsignaciones[[#This Row],[tecnico]]</f>
        <v/>
      </c>
      <c r="N362" s="3">
        <f>_xlfn.XLOOKUP(tblAsignaciones[[#This Row],[turno]],tblTurnos[turno],tblTurnos[hora_inicio],"")</f>
        <v/>
      </c>
      <c r="O362" s="3">
        <f>_xlfn.XLOOKUP(tblAsignaciones[[#This Row],[turno]],tblTurnos[turno],tblTurnos[hora_fin],"")</f>
        <v/>
      </c>
    </row>
    <row r="363">
      <c r="A363" s="3" t="inlineStr">
        <is>
          <t>2026-S32</t>
        </is>
      </c>
      <c r="B363" s="3" t="inlineStr">
        <is>
          <t>miércoles</t>
        </is>
      </c>
      <c r="C363" s="3" t="inlineStr">
        <is>
          <t>Técnico 04</t>
        </is>
      </c>
      <c r="D363" s="3">
        <f>_xlfn.XLOOKUP(tblAsignaciones[[#This Row],[tecnico]],tblTecnicos[nombre],tblTecnicos[area],"")</f>
        <v/>
      </c>
      <c r="E363" s="3">
        <f>_xlfn.XLOOKUP(tblAsignaciones[[#This Row],[tecnico]],tblTecnicos[nombre],tblTecnicos[especialidad],"")</f>
        <v/>
      </c>
      <c r="F363" s="3">
        <f>COUNTIFS(tblTecnicos[rotativo],"SI",tblTecnicos[especialidad],tblAsignaciones[[#This Row],[especialidad]],tblTecnicos[area],tblAsignaciones[[#This Row],[area]])</f>
        <v/>
      </c>
      <c r="G3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6" t="n"/>
      <c r="I363" s="3">
        <f>IF(tblAsignaciones[[#This Row],[turno_manual]]&lt;&gt;"",tblAsignaciones[[#This Row],[turno_manual]],IF(LEFT(tblAsignaciones[[#This Row],[posicion_ciclo]],1)="B","B",tblAsignaciones[[#This Row],[posicion_ciclo]]))</f>
        <v/>
      </c>
      <c r="J363" s="3">
        <f>_xlfn.XLOOKUP(tblAsignaciones[[#This Row],[tecnico]],tblTecnicos[nombre],tblTecnicos[coordinador],"")</f>
        <v/>
      </c>
      <c r="K3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3" s="3">
        <f>tblAsignaciones[[#This Row],[semana]]&amp;"|"&amp;tblAsignaciones[[#This Row],[dia]]&amp;"|"&amp;tblAsignaciones[[#This Row],[tecnico]]</f>
        <v/>
      </c>
      <c r="N363" s="3">
        <f>_xlfn.XLOOKUP(tblAsignaciones[[#This Row],[turno]],tblTurnos[turno],tblTurnos[hora_inicio],"")</f>
        <v/>
      </c>
      <c r="O363" s="3">
        <f>_xlfn.XLOOKUP(tblAsignaciones[[#This Row],[turno]],tblTurnos[turno],tblTurnos[hora_fin],"")</f>
        <v/>
      </c>
    </row>
    <row r="364">
      <c r="A364" s="3" t="inlineStr">
        <is>
          <t>2026-S32</t>
        </is>
      </c>
      <c r="B364" s="3" t="inlineStr">
        <is>
          <t>jueves</t>
        </is>
      </c>
      <c r="C364" s="3" t="inlineStr">
        <is>
          <t>Técnico 04</t>
        </is>
      </c>
      <c r="D364" s="3">
        <f>_xlfn.XLOOKUP(tblAsignaciones[[#This Row],[tecnico]],tblTecnicos[nombre],tblTecnicos[area],"")</f>
        <v/>
      </c>
      <c r="E364" s="3">
        <f>_xlfn.XLOOKUP(tblAsignaciones[[#This Row],[tecnico]],tblTecnicos[nombre],tblTecnicos[especialidad],"")</f>
        <v/>
      </c>
      <c r="F364" s="3">
        <f>COUNTIFS(tblTecnicos[rotativo],"SI",tblTecnicos[especialidad],tblAsignaciones[[#This Row],[especialidad]],tblTecnicos[area],tblAsignaciones[[#This Row],[area]])</f>
        <v/>
      </c>
      <c r="G3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6" t="n"/>
      <c r="I364" s="3">
        <f>IF(tblAsignaciones[[#This Row],[turno_manual]]&lt;&gt;"",tblAsignaciones[[#This Row],[turno_manual]],IF(LEFT(tblAsignaciones[[#This Row],[posicion_ciclo]],1)="B","B",tblAsignaciones[[#This Row],[posicion_ciclo]]))</f>
        <v/>
      </c>
      <c r="J364" s="3">
        <f>_xlfn.XLOOKUP(tblAsignaciones[[#This Row],[tecnico]],tblTecnicos[nombre],tblTecnicos[coordinador],"")</f>
        <v/>
      </c>
      <c r="K3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4" s="3">
        <f>tblAsignaciones[[#This Row],[semana]]&amp;"|"&amp;tblAsignaciones[[#This Row],[dia]]&amp;"|"&amp;tblAsignaciones[[#This Row],[tecnico]]</f>
        <v/>
      </c>
      <c r="N364" s="3">
        <f>_xlfn.XLOOKUP(tblAsignaciones[[#This Row],[turno]],tblTurnos[turno],tblTurnos[hora_inicio],"")</f>
        <v/>
      </c>
      <c r="O364" s="3">
        <f>_xlfn.XLOOKUP(tblAsignaciones[[#This Row],[turno]],tblTurnos[turno],tblTurnos[hora_fin],"")</f>
        <v/>
      </c>
    </row>
    <row r="365">
      <c r="A365" s="3" t="inlineStr">
        <is>
          <t>2026-S32</t>
        </is>
      </c>
      <c r="B365" s="3" t="inlineStr">
        <is>
          <t>viernes</t>
        </is>
      </c>
      <c r="C365" s="3" t="inlineStr">
        <is>
          <t>Técnico 04</t>
        </is>
      </c>
      <c r="D365" s="3">
        <f>_xlfn.XLOOKUP(tblAsignaciones[[#This Row],[tecnico]],tblTecnicos[nombre],tblTecnicos[area],"")</f>
        <v/>
      </c>
      <c r="E365" s="3">
        <f>_xlfn.XLOOKUP(tblAsignaciones[[#This Row],[tecnico]],tblTecnicos[nombre],tblTecnicos[especialidad],"")</f>
        <v/>
      </c>
      <c r="F365" s="3">
        <f>COUNTIFS(tblTecnicos[rotativo],"SI",tblTecnicos[especialidad],tblAsignaciones[[#This Row],[especialidad]],tblTecnicos[area],tblAsignaciones[[#This Row],[area]])</f>
        <v/>
      </c>
      <c r="G3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6" t="n"/>
      <c r="I365" s="3">
        <f>IF(tblAsignaciones[[#This Row],[turno_manual]]&lt;&gt;"",tblAsignaciones[[#This Row],[turno_manual]],IF(LEFT(tblAsignaciones[[#This Row],[posicion_ciclo]],1)="B","B",tblAsignaciones[[#This Row],[posicion_ciclo]]))</f>
        <v/>
      </c>
      <c r="J365" s="3">
        <f>_xlfn.XLOOKUP(tblAsignaciones[[#This Row],[tecnico]],tblTecnicos[nombre],tblTecnicos[coordinador],"")</f>
        <v/>
      </c>
      <c r="K3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5" s="3">
        <f>tblAsignaciones[[#This Row],[semana]]&amp;"|"&amp;tblAsignaciones[[#This Row],[dia]]&amp;"|"&amp;tblAsignaciones[[#This Row],[tecnico]]</f>
        <v/>
      </c>
      <c r="N365" s="3">
        <f>_xlfn.XLOOKUP(tblAsignaciones[[#This Row],[turno]],tblTurnos[turno],tblTurnos[hora_inicio],"")</f>
        <v/>
      </c>
      <c r="O365" s="3">
        <f>_xlfn.XLOOKUP(tblAsignaciones[[#This Row],[turno]],tblTurnos[turno],tblTurnos[hora_fin],"")</f>
        <v/>
      </c>
    </row>
    <row r="366">
      <c r="A366" s="3" t="inlineStr">
        <is>
          <t>2026-S32</t>
        </is>
      </c>
      <c r="B366" s="3" t="inlineStr">
        <is>
          <t>sábado</t>
        </is>
      </c>
      <c r="C366" s="3" t="inlineStr">
        <is>
          <t>Técnico 04</t>
        </is>
      </c>
      <c r="D366" s="3">
        <f>_xlfn.XLOOKUP(tblAsignaciones[[#This Row],[tecnico]],tblTecnicos[nombre],tblTecnicos[area],"")</f>
        <v/>
      </c>
      <c r="E366" s="3">
        <f>_xlfn.XLOOKUP(tblAsignaciones[[#This Row],[tecnico]],tblTecnicos[nombre],tblTecnicos[especialidad],"")</f>
        <v/>
      </c>
      <c r="F366" s="3">
        <f>COUNTIFS(tblTecnicos[rotativo],"SI",tblTecnicos[especialidad],tblAsignaciones[[#This Row],[especialidad]],tblTecnicos[area],tblAsignaciones[[#This Row],[area]])</f>
        <v/>
      </c>
      <c r="G3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6" t="n"/>
      <c r="I366" s="3">
        <f>IF(tblAsignaciones[[#This Row],[turno_manual]]&lt;&gt;"",tblAsignaciones[[#This Row],[turno_manual]],IF(LEFT(tblAsignaciones[[#This Row],[posicion_ciclo]],1)="B","B",tblAsignaciones[[#This Row],[posicion_ciclo]]))</f>
        <v/>
      </c>
      <c r="J366" s="3">
        <f>_xlfn.XLOOKUP(tblAsignaciones[[#This Row],[tecnico]],tblTecnicos[nombre],tblTecnicos[coordinador],"")</f>
        <v/>
      </c>
      <c r="K3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6" s="3">
        <f>tblAsignaciones[[#This Row],[semana]]&amp;"|"&amp;tblAsignaciones[[#This Row],[dia]]&amp;"|"&amp;tblAsignaciones[[#This Row],[tecnico]]</f>
        <v/>
      </c>
      <c r="N366" s="3">
        <f>_xlfn.XLOOKUP(tblAsignaciones[[#This Row],[turno]],tblTurnos[turno],tblTurnos[hora_inicio],"")</f>
        <v/>
      </c>
      <c r="O366" s="3">
        <f>_xlfn.XLOOKUP(tblAsignaciones[[#This Row],[turno]],tblTurnos[turno],tblTurnos[hora_fin],"")</f>
        <v/>
      </c>
    </row>
    <row r="367">
      <c r="A367" s="3" t="inlineStr">
        <is>
          <t>2026-S32</t>
        </is>
      </c>
      <c r="B367" s="3" t="inlineStr">
        <is>
          <t>domingo</t>
        </is>
      </c>
      <c r="C367" s="3" t="inlineStr">
        <is>
          <t>Técnico 04</t>
        </is>
      </c>
      <c r="D367" s="3">
        <f>_xlfn.XLOOKUP(tblAsignaciones[[#This Row],[tecnico]],tblTecnicos[nombre],tblTecnicos[area],"")</f>
        <v/>
      </c>
      <c r="E367" s="3">
        <f>_xlfn.XLOOKUP(tblAsignaciones[[#This Row],[tecnico]],tblTecnicos[nombre],tblTecnicos[especialidad],"")</f>
        <v/>
      </c>
      <c r="F367" s="3">
        <f>COUNTIFS(tblTecnicos[rotativo],"SI",tblTecnicos[especialidad],tblAsignaciones[[#This Row],[especialidad]],tblTecnicos[area],tblAsignaciones[[#This Row],[area]])</f>
        <v/>
      </c>
      <c r="G3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6" t="n"/>
      <c r="I367" s="3">
        <f>IF(tblAsignaciones[[#This Row],[turno_manual]]&lt;&gt;"",tblAsignaciones[[#This Row],[turno_manual]],IF(LEFT(tblAsignaciones[[#This Row],[posicion_ciclo]],1)="B","B",tblAsignaciones[[#This Row],[posicion_ciclo]]))</f>
        <v/>
      </c>
      <c r="J367" s="3">
        <f>_xlfn.XLOOKUP(tblAsignaciones[[#This Row],[tecnico]],tblTecnicos[nombre],tblTecnicos[coordinador],"")</f>
        <v/>
      </c>
      <c r="K3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7" s="3">
        <f>tblAsignaciones[[#This Row],[semana]]&amp;"|"&amp;tblAsignaciones[[#This Row],[dia]]&amp;"|"&amp;tblAsignaciones[[#This Row],[tecnico]]</f>
        <v/>
      </c>
      <c r="N367" s="3">
        <f>_xlfn.XLOOKUP(tblAsignaciones[[#This Row],[turno]],tblTurnos[turno],tblTurnos[hora_inicio],"")</f>
        <v/>
      </c>
      <c r="O367" s="3">
        <f>_xlfn.XLOOKUP(tblAsignaciones[[#This Row],[turno]],tblTurnos[turno],tblTurnos[hora_fin],"")</f>
        <v/>
      </c>
    </row>
    <row r="368">
      <c r="A368" s="3" t="inlineStr">
        <is>
          <t>2026-S32</t>
        </is>
      </c>
      <c r="B368" s="3" t="inlineStr">
        <is>
          <t>lunes</t>
        </is>
      </c>
      <c r="C368" s="3" t="inlineStr">
        <is>
          <t>Técnico 05</t>
        </is>
      </c>
      <c r="D368" s="3">
        <f>_xlfn.XLOOKUP(tblAsignaciones[[#This Row],[tecnico]],tblTecnicos[nombre],tblTecnicos[area],"")</f>
        <v/>
      </c>
      <c r="E368" s="3">
        <f>_xlfn.XLOOKUP(tblAsignaciones[[#This Row],[tecnico]],tblTecnicos[nombre],tblTecnicos[especialidad],"")</f>
        <v/>
      </c>
      <c r="F368" s="3">
        <f>COUNTIFS(tblTecnicos[rotativo],"SI",tblTecnicos[especialidad],tblAsignaciones[[#This Row],[especialidad]],tblTecnicos[area],tblAsignaciones[[#This Row],[area]])</f>
        <v/>
      </c>
      <c r="G3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6" t="n"/>
      <c r="I368" s="3">
        <f>IF(tblAsignaciones[[#This Row],[turno_manual]]&lt;&gt;"",tblAsignaciones[[#This Row],[turno_manual]],IF(LEFT(tblAsignaciones[[#This Row],[posicion_ciclo]],1)="B","B",tblAsignaciones[[#This Row],[posicion_ciclo]]))</f>
        <v/>
      </c>
      <c r="J368" s="3">
        <f>_xlfn.XLOOKUP(tblAsignaciones[[#This Row],[tecnico]],tblTecnicos[nombre],tblTecnicos[coordinador],"")</f>
        <v/>
      </c>
      <c r="K3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8" s="3">
        <f>tblAsignaciones[[#This Row],[semana]]&amp;"|"&amp;tblAsignaciones[[#This Row],[dia]]&amp;"|"&amp;tblAsignaciones[[#This Row],[tecnico]]</f>
        <v/>
      </c>
      <c r="N368" s="3">
        <f>_xlfn.XLOOKUP(tblAsignaciones[[#This Row],[turno]],tblTurnos[turno],tblTurnos[hora_inicio],"")</f>
        <v/>
      </c>
      <c r="O368" s="3">
        <f>_xlfn.XLOOKUP(tblAsignaciones[[#This Row],[turno]],tblTurnos[turno],tblTurnos[hora_fin],"")</f>
        <v/>
      </c>
    </row>
    <row r="369">
      <c r="A369" s="3" t="inlineStr">
        <is>
          <t>2026-S32</t>
        </is>
      </c>
      <c r="B369" s="3" t="inlineStr">
        <is>
          <t>martes</t>
        </is>
      </c>
      <c r="C369" s="3" t="inlineStr">
        <is>
          <t>Técnico 05</t>
        </is>
      </c>
      <c r="D369" s="3">
        <f>_xlfn.XLOOKUP(tblAsignaciones[[#This Row],[tecnico]],tblTecnicos[nombre],tblTecnicos[area],"")</f>
        <v/>
      </c>
      <c r="E369" s="3">
        <f>_xlfn.XLOOKUP(tblAsignaciones[[#This Row],[tecnico]],tblTecnicos[nombre],tblTecnicos[especialidad],"")</f>
        <v/>
      </c>
      <c r="F369" s="3">
        <f>COUNTIFS(tblTecnicos[rotativo],"SI",tblTecnicos[especialidad],tblAsignaciones[[#This Row],[especialidad]],tblTecnicos[area],tblAsignaciones[[#This Row],[area]])</f>
        <v/>
      </c>
      <c r="G3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6" t="n"/>
      <c r="I369" s="3">
        <f>IF(tblAsignaciones[[#This Row],[turno_manual]]&lt;&gt;"",tblAsignaciones[[#This Row],[turno_manual]],IF(LEFT(tblAsignaciones[[#This Row],[posicion_ciclo]],1)="B","B",tblAsignaciones[[#This Row],[posicion_ciclo]]))</f>
        <v/>
      </c>
      <c r="J369" s="3">
        <f>_xlfn.XLOOKUP(tblAsignaciones[[#This Row],[tecnico]],tblTecnicos[nombre],tblTecnicos[coordinador],"")</f>
        <v/>
      </c>
      <c r="K3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69" s="3">
        <f>tblAsignaciones[[#This Row],[semana]]&amp;"|"&amp;tblAsignaciones[[#This Row],[dia]]&amp;"|"&amp;tblAsignaciones[[#This Row],[tecnico]]</f>
        <v/>
      </c>
      <c r="N369" s="3">
        <f>_xlfn.XLOOKUP(tblAsignaciones[[#This Row],[turno]],tblTurnos[turno],tblTurnos[hora_inicio],"")</f>
        <v/>
      </c>
      <c r="O369" s="3">
        <f>_xlfn.XLOOKUP(tblAsignaciones[[#This Row],[turno]],tblTurnos[turno],tblTurnos[hora_fin],"")</f>
        <v/>
      </c>
    </row>
    <row r="370">
      <c r="A370" s="3" t="inlineStr">
        <is>
          <t>2026-S32</t>
        </is>
      </c>
      <c r="B370" s="3" t="inlineStr">
        <is>
          <t>miércoles</t>
        </is>
      </c>
      <c r="C370" s="3" t="inlineStr">
        <is>
          <t>Técnico 05</t>
        </is>
      </c>
      <c r="D370" s="3">
        <f>_xlfn.XLOOKUP(tblAsignaciones[[#This Row],[tecnico]],tblTecnicos[nombre],tblTecnicos[area],"")</f>
        <v/>
      </c>
      <c r="E370" s="3">
        <f>_xlfn.XLOOKUP(tblAsignaciones[[#This Row],[tecnico]],tblTecnicos[nombre],tblTecnicos[especialidad],"")</f>
        <v/>
      </c>
      <c r="F370" s="3">
        <f>COUNTIFS(tblTecnicos[rotativo],"SI",tblTecnicos[especialidad],tblAsignaciones[[#This Row],[especialidad]],tblTecnicos[area],tblAsignaciones[[#This Row],[area]])</f>
        <v/>
      </c>
      <c r="G3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6" t="n"/>
      <c r="I370" s="3">
        <f>IF(tblAsignaciones[[#This Row],[turno_manual]]&lt;&gt;"",tblAsignaciones[[#This Row],[turno_manual]],IF(LEFT(tblAsignaciones[[#This Row],[posicion_ciclo]],1)="B","B",tblAsignaciones[[#This Row],[posicion_ciclo]]))</f>
        <v/>
      </c>
      <c r="J370" s="3">
        <f>_xlfn.XLOOKUP(tblAsignaciones[[#This Row],[tecnico]],tblTecnicos[nombre],tblTecnicos[coordinador],"")</f>
        <v/>
      </c>
      <c r="K3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0" s="3">
        <f>tblAsignaciones[[#This Row],[semana]]&amp;"|"&amp;tblAsignaciones[[#This Row],[dia]]&amp;"|"&amp;tblAsignaciones[[#This Row],[tecnico]]</f>
        <v/>
      </c>
      <c r="N370" s="3">
        <f>_xlfn.XLOOKUP(tblAsignaciones[[#This Row],[turno]],tblTurnos[turno],tblTurnos[hora_inicio],"")</f>
        <v/>
      </c>
      <c r="O370" s="3">
        <f>_xlfn.XLOOKUP(tblAsignaciones[[#This Row],[turno]],tblTurnos[turno],tblTurnos[hora_fin],"")</f>
        <v/>
      </c>
    </row>
    <row r="371">
      <c r="A371" s="3" t="inlineStr">
        <is>
          <t>2026-S32</t>
        </is>
      </c>
      <c r="B371" s="3" t="inlineStr">
        <is>
          <t>jueves</t>
        </is>
      </c>
      <c r="C371" s="3" t="inlineStr">
        <is>
          <t>Técnico 05</t>
        </is>
      </c>
      <c r="D371" s="3">
        <f>_xlfn.XLOOKUP(tblAsignaciones[[#This Row],[tecnico]],tblTecnicos[nombre],tblTecnicos[area],"")</f>
        <v/>
      </c>
      <c r="E371" s="3">
        <f>_xlfn.XLOOKUP(tblAsignaciones[[#This Row],[tecnico]],tblTecnicos[nombre],tblTecnicos[especialidad],"")</f>
        <v/>
      </c>
      <c r="F371" s="3">
        <f>COUNTIFS(tblTecnicos[rotativo],"SI",tblTecnicos[especialidad],tblAsignaciones[[#This Row],[especialidad]],tblTecnicos[area],tblAsignaciones[[#This Row],[area]])</f>
        <v/>
      </c>
      <c r="G3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6" t="n"/>
      <c r="I371" s="3">
        <f>IF(tblAsignaciones[[#This Row],[turno_manual]]&lt;&gt;"",tblAsignaciones[[#This Row],[turno_manual]],IF(LEFT(tblAsignaciones[[#This Row],[posicion_ciclo]],1)="B","B",tblAsignaciones[[#This Row],[posicion_ciclo]]))</f>
        <v/>
      </c>
      <c r="J371" s="3">
        <f>_xlfn.XLOOKUP(tblAsignaciones[[#This Row],[tecnico]],tblTecnicos[nombre],tblTecnicos[coordinador],"")</f>
        <v/>
      </c>
      <c r="K3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1" s="3">
        <f>tblAsignaciones[[#This Row],[semana]]&amp;"|"&amp;tblAsignaciones[[#This Row],[dia]]&amp;"|"&amp;tblAsignaciones[[#This Row],[tecnico]]</f>
        <v/>
      </c>
      <c r="N371" s="3">
        <f>_xlfn.XLOOKUP(tblAsignaciones[[#This Row],[turno]],tblTurnos[turno],tblTurnos[hora_inicio],"")</f>
        <v/>
      </c>
      <c r="O371" s="3">
        <f>_xlfn.XLOOKUP(tblAsignaciones[[#This Row],[turno]],tblTurnos[turno],tblTurnos[hora_fin],"")</f>
        <v/>
      </c>
    </row>
    <row r="372">
      <c r="A372" s="3" t="inlineStr">
        <is>
          <t>2026-S32</t>
        </is>
      </c>
      <c r="B372" s="3" t="inlineStr">
        <is>
          <t>viernes</t>
        </is>
      </c>
      <c r="C372" s="3" t="inlineStr">
        <is>
          <t>Técnico 05</t>
        </is>
      </c>
      <c r="D372" s="3">
        <f>_xlfn.XLOOKUP(tblAsignaciones[[#This Row],[tecnico]],tblTecnicos[nombre],tblTecnicos[area],"")</f>
        <v/>
      </c>
      <c r="E372" s="3">
        <f>_xlfn.XLOOKUP(tblAsignaciones[[#This Row],[tecnico]],tblTecnicos[nombre],tblTecnicos[especialidad],"")</f>
        <v/>
      </c>
      <c r="F372" s="3">
        <f>COUNTIFS(tblTecnicos[rotativo],"SI",tblTecnicos[especialidad],tblAsignaciones[[#This Row],[especialidad]],tblTecnicos[area],tblAsignaciones[[#This Row],[area]])</f>
        <v/>
      </c>
      <c r="G3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6" t="n"/>
      <c r="I372" s="3">
        <f>IF(tblAsignaciones[[#This Row],[turno_manual]]&lt;&gt;"",tblAsignaciones[[#This Row],[turno_manual]],IF(LEFT(tblAsignaciones[[#This Row],[posicion_ciclo]],1)="B","B",tblAsignaciones[[#This Row],[posicion_ciclo]]))</f>
        <v/>
      </c>
      <c r="J372" s="3">
        <f>_xlfn.XLOOKUP(tblAsignaciones[[#This Row],[tecnico]],tblTecnicos[nombre],tblTecnicos[coordinador],"")</f>
        <v/>
      </c>
      <c r="K3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2" s="3">
        <f>tblAsignaciones[[#This Row],[semana]]&amp;"|"&amp;tblAsignaciones[[#This Row],[dia]]&amp;"|"&amp;tblAsignaciones[[#This Row],[tecnico]]</f>
        <v/>
      </c>
      <c r="N372" s="3">
        <f>_xlfn.XLOOKUP(tblAsignaciones[[#This Row],[turno]],tblTurnos[turno],tblTurnos[hora_inicio],"")</f>
        <v/>
      </c>
      <c r="O372" s="3">
        <f>_xlfn.XLOOKUP(tblAsignaciones[[#This Row],[turno]],tblTurnos[turno],tblTurnos[hora_fin],"")</f>
        <v/>
      </c>
    </row>
    <row r="373">
      <c r="A373" s="3" t="inlineStr">
        <is>
          <t>2026-S32</t>
        </is>
      </c>
      <c r="B373" s="3" t="inlineStr">
        <is>
          <t>sábado</t>
        </is>
      </c>
      <c r="C373" s="3" t="inlineStr">
        <is>
          <t>Técnico 05</t>
        </is>
      </c>
      <c r="D373" s="3">
        <f>_xlfn.XLOOKUP(tblAsignaciones[[#This Row],[tecnico]],tblTecnicos[nombre],tblTecnicos[area],"")</f>
        <v/>
      </c>
      <c r="E373" s="3">
        <f>_xlfn.XLOOKUP(tblAsignaciones[[#This Row],[tecnico]],tblTecnicos[nombre],tblTecnicos[especialidad],"")</f>
        <v/>
      </c>
      <c r="F373" s="3">
        <f>COUNTIFS(tblTecnicos[rotativo],"SI",tblTecnicos[especialidad],tblAsignaciones[[#This Row],[especialidad]],tblTecnicos[area],tblAsignaciones[[#This Row],[area]])</f>
        <v/>
      </c>
      <c r="G3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6" t="n"/>
      <c r="I373" s="3">
        <f>IF(tblAsignaciones[[#This Row],[turno_manual]]&lt;&gt;"",tblAsignaciones[[#This Row],[turno_manual]],IF(LEFT(tblAsignaciones[[#This Row],[posicion_ciclo]],1)="B","B",tblAsignaciones[[#This Row],[posicion_ciclo]]))</f>
        <v/>
      </c>
      <c r="J373" s="3">
        <f>_xlfn.XLOOKUP(tblAsignaciones[[#This Row],[tecnico]],tblTecnicos[nombre],tblTecnicos[coordinador],"")</f>
        <v/>
      </c>
      <c r="K3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3" s="3">
        <f>tblAsignaciones[[#This Row],[semana]]&amp;"|"&amp;tblAsignaciones[[#This Row],[dia]]&amp;"|"&amp;tblAsignaciones[[#This Row],[tecnico]]</f>
        <v/>
      </c>
      <c r="N373" s="3">
        <f>_xlfn.XLOOKUP(tblAsignaciones[[#This Row],[turno]],tblTurnos[turno],tblTurnos[hora_inicio],"")</f>
        <v/>
      </c>
      <c r="O373" s="3">
        <f>_xlfn.XLOOKUP(tblAsignaciones[[#This Row],[turno]],tblTurnos[turno],tblTurnos[hora_fin],"")</f>
        <v/>
      </c>
    </row>
    <row r="374">
      <c r="A374" s="3" t="inlineStr">
        <is>
          <t>2026-S32</t>
        </is>
      </c>
      <c r="B374" s="3" t="inlineStr">
        <is>
          <t>domingo</t>
        </is>
      </c>
      <c r="C374" s="3" t="inlineStr">
        <is>
          <t>Técnico 05</t>
        </is>
      </c>
      <c r="D374" s="3">
        <f>_xlfn.XLOOKUP(tblAsignaciones[[#This Row],[tecnico]],tblTecnicos[nombre],tblTecnicos[area],"")</f>
        <v/>
      </c>
      <c r="E374" s="3">
        <f>_xlfn.XLOOKUP(tblAsignaciones[[#This Row],[tecnico]],tblTecnicos[nombre],tblTecnicos[especialidad],"")</f>
        <v/>
      </c>
      <c r="F374" s="3">
        <f>COUNTIFS(tblTecnicos[rotativo],"SI",tblTecnicos[especialidad],tblAsignaciones[[#This Row],[especialidad]],tblTecnicos[area],tblAsignaciones[[#This Row],[area]])</f>
        <v/>
      </c>
      <c r="G3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6" t="n"/>
      <c r="I374" s="3">
        <f>IF(tblAsignaciones[[#This Row],[turno_manual]]&lt;&gt;"",tblAsignaciones[[#This Row],[turno_manual]],IF(LEFT(tblAsignaciones[[#This Row],[posicion_ciclo]],1)="B","B",tblAsignaciones[[#This Row],[posicion_ciclo]]))</f>
        <v/>
      </c>
      <c r="J374" s="3">
        <f>_xlfn.XLOOKUP(tblAsignaciones[[#This Row],[tecnico]],tblTecnicos[nombre],tblTecnicos[coordinador],"")</f>
        <v/>
      </c>
      <c r="K3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4" s="3">
        <f>tblAsignaciones[[#This Row],[semana]]&amp;"|"&amp;tblAsignaciones[[#This Row],[dia]]&amp;"|"&amp;tblAsignaciones[[#This Row],[tecnico]]</f>
        <v/>
      </c>
      <c r="N374" s="3">
        <f>_xlfn.XLOOKUP(tblAsignaciones[[#This Row],[turno]],tblTurnos[turno],tblTurnos[hora_inicio],"")</f>
        <v/>
      </c>
      <c r="O374" s="3">
        <f>_xlfn.XLOOKUP(tblAsignaciones[[#This Row],[turno]],tblTurnos[turno],tblTurnos[hora_fin],"")</f>
        <v/>
      </c>
    </row>
    <row r="375">
      <c r="A375" s="3" t="inlineStr">
        <is>
          <t>2026-S32</t>
        </is>
      </c>
      <c r="B375" s="3" t="inlineStr">
        <is>
          <t>lunes</t>
        </is>
      </c>
      <c r="C375" s="3" t="inlineStr">
        <is>
          <t>Técnico 06</t>
        </is>
      </c>
      <c r="D375" s="3">
        <f>_xlfn.XLOOKUP(tblAsignaciones[[#This Row],[tecnico]],tblTecnicos[nombre],tblTecnicos[area],"")</f>
        <v/>
      </c>
      <c r="E375" s="3">
        <f>_xlfn.XLOOKUP(tblAsignaciones[[#This Row],[tecnico]],tblTecnicos[nombre],tblTecnicos[especialidad],"")</f>
        <v/>
      </c>
      <c r="F375" s="3">
        <f>COUNTIFS(tblTecnicos[rotativo],"SI",tblTecnicos[especialidad],tblAsignaciones[[#This Row],[especialidad]],tblTecnicos[area],tblAsignaciones[[#This Row],[area]])</f>
        <v/>
      </c>
      <c r="G3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6" t="n"/>
      <c r="I375" s="3">
        <f>IF(tblAsignaciones[[#This Row],[turno_manual]]&lt;&gt;"",tblAsignaciones[[#This Row],[turno_manual]],IF(LEFT(tblAsignaciones[[#This Row],[posicion_ciclo]],1)="B","B",tblAsignaciones[[#This Row],[posicion_ciclo]]))</f>
        <v/>
      </c>
      <c r="J375" s="3">
        <f>_xlfn.XLOOKUP(tblAsignaciones[[#This Row],[tecnico]],tblTecnicos[nombre],tblTecnicos[coordinador],"")</f>
        <v/>
      </c>
      <c r="K3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5" s="3">
        <f>tblAsignaciones[[#This Row],[semana]]&amp;"|"&amp;tblAsignaciones[[#This Row],[dia]]&amp;"|"&amp;tblAsignaciones[[#This Row],[tecnico]]</f>
        <v/>
      </c>
      <c r="N375" s="3">
        <f>_xlfn.XLOOKUP(tblAsignaciones[[#This Row],[turno]],tblTurnos[turno],tblTurnos[hora_inicio],"")</f>
        <v/>
      </c>
      <c r="O375" s="3">
        <f>_xlfn.XLOOKUP(tblAsignaciones[[#This Row],[turno]],tblTurnos[turno],tblTurnos[hora_fin],"")</f>
        <v/>
      </c>
    </row>
    <row r="376">
      <c r="A376" s="3" t="inlineStr">
        <is>
          <t>2026-S32</t>
        </is>
      </c>
      <c r="B376" s="3" t="inlineStr">
        <is>
          <t>martes</t>
        </is>
      </c>
      <c r="C376" s="3" t="inlineStr">
        <is>
          <t>Técnico 06</t>
        </is>
      </c>
      <c r="D376" s="3">
        <f>_xlfn.XLOOKUP(tblAsignaciones[[#This Row],[tecnico]],tblTecnicos[nombre],tblTecnicos[area],"")</f>
        <v/>
      </c>
      <c r="E376" s="3">
        <f>_xlfn.XLOOKUP(tblAsignaciones[[#This Row],[tecnico]],tblTecnicos[nombre],tblTecnicos[especialidad],"")</f>
        <v/>
      </c>
      <c r="F376" s="3">
        <f>COUNTIFS(tblTecnicos[rotativo],"SI",tblTecnicos[especialidad],tblAsignaciones[[#This Row],[especialidad]],tblTecnicos[area],tblAsignaciones[[#This Row],[area]])</f>
        <v/>
      </c>
      <c r="G3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6" t="n"/>
      <c r="I376" s="3">
        <f>IF(tblAsignaciones[[#This Row],[turno_manual]]&lt;&gt;"",tblAsignaciones[[#This Row],[turno_manual]],IF(LEFT(tblAsignaciones[[#This Row],[posicion_ciclo]],1)="B","B",tblAsignaciones[[#This Row],[posicion_ciclo]]))</f>
        <v/>
      </c>
      <c r="J376" s="3">
        <f>_xlfn.XLOOKUP(tblAsignaciones[[#This Row],[tecnico]],tblTecnicos[nombre],tblTecnicos[coordinador],"")</f>
        <v/>
      </c>
      <c r="K3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6" s="3">
        <f>tblAsignaciones[[#This Row],[semana]]&amp;"|"&amp;tblAsignaciones[[#This Row],[dia]]&amp;"|"&amp;tblAsignaciones[[#This Row],[tecnico]]</f>
        <v/>
      </c>
      <c r="N376" s="3">
        <f>_xlfn.XLOOKUP(tblAsignaciones[[#This Row],[turno]],tblTurnos[turno],tblTurnos[hora_inicio],"")</f>
        <v/>
      </c>
      <c r="O376" s="3">
        <f>_xlfn.XLOOKUP(tblAsignaciones[[#This Row],[turno]],tblTurnos[turno],tblTurnos[hora_fin],"")</f>
        <v/>
      </c>
    </row>
    <row r="377">
      <c r="A377" s="3" t="inlineStr">
        <is>
          <t>2026-S32</t>
        </is>
      </c>
      <c r="B377" s="3" t="inlineStr">
        <is>
          <t>miércoles</t>
        </is>
      </c>
      <c r="C377" s="3" t="inlineStr">
        <is>
          <t>Técnico 06</t>
        </is>
      </c>
      <c r="D377" s="3">
        <f>_xlfn.XLOOKUP(tblAsignaciones[[#This Row],[tecnico]],tblTecnicos[nombre],tblTecnicos[area],"")</f>
        <v/>
      </c>
      <c r="E377" s="3">
        <f>_xlfn.XLOOKUP(tblAsignaciones[[#This Row],[tecnico]],tblTecnicos[nombre],tblTecnicos[especialidad],"")</f>
        <v/>
      </c>
      <c r="F377" s="3">
        <f>COUNTIFS(tblTecnicos[rotativo],"SI",tblTecnicos[especialidad],tblAsignaciones[[#This Row],[especialidad]],tblTecnicos[area],tblAsignaciones[[#This Row],[area]])</f>
        <v/>
      </c>
      <c r="G3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6" t="n"/>
      <c r="I377" s="3">
        <f>IF(tblAsignaciones[[#This Row],[turno_manual]]&lt;&gt;"",tblAsignaciones[[#This Row],[turno_manual]],IF(LEFT(tblAsignaciones[[#This Row],[posicion_ciclo]],1)="B","B",tblAsignaciones[[#This Row],[posicion_ciclo]]))</f>
        <v/>
      </c>
      <c r="J377" s="3">
        <f>_xlfn.XLOOKUP(tblAsignaciones[[#This Row],[tecnico]],tblTecnicos[nombre],tblTecnicos[coordinador],"")</f>
        <v/>
      </c>
      <c r="K3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7" s="3">
        <f>tblAsignaciones[[#This Row],[semana]]&amp;"|"&amp;tblAsignaciones[[#This Row],[dia]]&amp;"|"&amp;tblAsignaciones[[#This Row],[tecnico]]</f>
        <v/>
      </c>
      <c r="N377" s="3">
        <f>_xlfn.XLOOKUP(tblAsignaciones[[#This Row],[turno]],tblTurnos[turno],tblTurnos[hora_inicio],"")</f>
        <v/>
      </c>
      <c r="O377" s="3">
        <f>_xlfn.XLOOKUP(tblAsignaciones[[#This Row],[turno]],tblTurnos[turno],tblTurnos[hora_fin],"")</f>
        <v/>
      </c>
    </row>
    <row r="378">
      <c r="A378" s="3" t="inlineStr">
        <is>
          <t>2026-S32</t>
        </is>
      </c>
      <c r="B378" s="3" t="inlineStr">
        <is>
          <t>jueves</t>
        </is>
      </c>
      <c r="C378" s="3" t="inlineStr">
        <is>
          <t>Técnico 06</t>
        </is>
      </c>
      <c r="D378" s="3">
        <f>_xlfn.XLOOKUP(tblAsignaciones[[#This Row],[tecnico]],tblTecnicos[nombre],tblTecnicos[area],"")</f>
        <v/>
      </c>
      <c r="E378" s="3">
        <f>_xlfn.XLOOKUP(tblAsignaciones[[#This Row],[tecnico]],tblTecnicos[nombre],tblTecnicos[especialidad],"")</f>
        <v/>
      </c>
      <c r="F378" s="3">
        <f>COUNTIFS(tblTecnicos[rotativo],"SI",tblTecnicos[especialidad],tblAsignaciones[[#This Row],[especialidad]],tblTecnicos[area],tblAsignaciones[[#This Row],[area]])</f>
        <v/>
      </c>
      <c r="G3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6" t="n"/>
      <c r="I378" s="3">
        <f>IF(tblAsignaciones[[#This Row],[turno_manual]]&lt;&gt;"",tblAsignaciones[[#This Row],[turno_manual]],IF(LEFT(tblAsignaciones[[#This Row],[posicion_ciclo]],1)="B","B",tblAsignaciones[[#This Row],[posicion_ciclo]]))</f>
        <v/>
      </c>
      <c r="J378" s="3">
        <f>_xlfn.XLOOKUP(tblAsignaciones[[#This Row],[tecnico]],tblTecnicos[nombre],tblTecnicos[coordinador],"")</f>
        <v/>
      </c>
      <c r="K3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8" s="3">
        <f>tblAsignaciones[[#This Row],[semana]]&amp;"|"&amp;tblAsignaciones[[#This Row],[dia]]&amp;"|"&amp;tblAsignaciones[[#This Row],[tecnico]]</f>
        <v/>
      </c>
      <c r="N378" s="3">
        <f>_xlfn.XLOOKUP(tblAsignaciones[[#This Row],[turno]],tblTurnos[turno],tblTurnos[hora_inicio],"")</f>
        <v/>
      </c>
      <c r="O378" s="3">
        <f>_xlfn.XLOOKUP(tblAsignaciones[[#This Row],[turno]],tblTurnos[turno],tblTurnos[hora_fin],"")</f>
        <v/>
      </c>
    </row>
    <row r="379">
      <c r="A379" s="3" t="inlineStr">
        <is>
          <t>2026-S32</t>
        </is>
      </c>
      <c r="B379" s="3" t="inlineStr">
        <is>
          <t>viernes</t>
        </is>
      </c>
      <c r="C379" s="3" t="inlineStr">
        <is>
          <t>Técnico 06</t>
        </is>
      </c>
      <c r="D379" s="3">
        <f>_xlfn.XLOOKUP(tblAsignaciones[[#This Row],[tecnico]],tblTecnicos[nombre],tblTecnicos[area],"")</f>
        <v/>
      </c>
      <c r="E379" s="3">
        <f>_xlfn.XLOOKUP(tblAsignaciones[[#This Row],[tecnico]],tblTecnicos[nombre],tblTecnicos[especialidad],"")</f>
        <v/>
      </c>
      <c r="F379" s="3">
        <f>COUNTIFS(tblTecnicos[rotativo],"SI",tblTecnicos[especialidad],tblAsignaciones[[#This Row],[especialidad]],tblTecnicos[area],tblAsignaciones[[#This Row],[area]])</f>
        <v/>
      </c>
      <c r="G3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6" t="n"/>
      <c r="I379" s="3">
        <f>IF(tblAsignaciones[[#This Row],[turno_manual]]&lt;&gt;"",tblAsignaciones[[#This Row],[turno_manual]],IF(LEFT(tblAsignaciones[[#This Row],[posicion_ciclo]],1)="B","B",tblAsignaciones[[#This Row],[posicion_ciclo]]))</f>
        <v/>
      </c>
      <c r="J379" s="3">
        <f>_xlfn.XLOOKUP(tblAsignaciones[[#This Row],[tecnico]],tblTecnicos[nombre],tblTecnicos[coordinador],"")</f>
        <v/>
      </c>
      <c r="K3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79" s="3">
        <f>tblAsignaciones[[#This Row],[semana]]&amp;"|"&amp;tblAsignaciones[[#This Row],[dia]]&amp;"|"&amp;tblAsignaciones[[#This Row],[tecnico]]</f>
        <v/>
      </c>
      <c r="N379" s="3">
        <f>_xlfn.XLOOKUP(tblAsignaciones[[#This Row],[turno]],tblTurnos[turno],tblTurnos[hora_inicio],"")</f>
        <v/>
      </c>
      <c r="O379" s="3">
        <f>_xlfn.XLOOKUP(tblAsignaciones[[#This Row],[turno]],tblTurnos[turno],tblTurnos[hora_fin],"")</f>
        <v/>
      </c>
    </row>
    <row r="380">
      <c r="A380" s="3" t="inlineStr">
        <is>
          <t>2026-S32</t>
        </is>
      </c>
      <c r="B380" s="3" t="inlineStr">
        <is>
          <t>sábado</t>
        </is>
      </c>
      <c r="C380" s="3" t="inlineStr">
        <is>
          <t>Técnico 06</t>
        </is>
      </c>
      <c r="D380" s="3">
        <f>_xlfn.XLOOKUP(tblAsignaciones[[#This Row],[tecnico]],tblTecnicos[nombre],tblTecnicos[area],"")</f>
        <v/>
      </c>
      <c r="E380" s="3">
        <f>_xlfn.XLOOKUP(tblAsignaciones[[#This Row],[tecnico]],tblTecnicos[nombre],tblTecnicos[especialidad],"")</f>
        <v/>
      </c>
      <c r="F380" s="3">
        <f>COUNTIFS(tblTecnicos[rotativo],"SI",tblTecnicos[especialidad],tblAsignaciones[[#This Row],[especialidad]],tblTecnicos[area],tblAsignaciones[[#This Row],[area]])</f>
        <v/>
      </c>
      <c r="G3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6" t="n"/>
      <c r="I380" s="3">
        <f>IF(tblAsignaciones[[#This Row],[turno_manual]]&lt;&gt;"",tblAsignaciones[[#This Row],[turno_manual]],IF(LEFT(tblAsignaciones[[#This Row],[posicion_ciclo]],1)="B","B",tblAsignaciones[[#This Row],[posicion_ciclo]]))</f>
        <v/>
      </c>
      <c r="J380" s="3">
        <f>_xlfn.XLOOKUP(tblAsignaciones[[#This Row],[tecnico]],tblTecnicos[nombre],tblTecnicos[coordinador],"")</f>
        <v/>
      </c>
      <c r="K3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0" s="3">
        <f>tblAsignaciones[[#This Row],[semana]]&amp;"|"&amp;tblAsignaciones[[#This Row],[dia]]&amp;"|"&amp;tblAsignaciones[[#This Row],[tecnico]]</f>
        <v/>
      </c>
      <c r="N380" s="3">
        <f>_xlfn.XLOOKUP(tblAsignaciones[[#This Row],[turno]],tblTurnos[turno],tblTurnos[hora_inicio],"")</f>
        <v/>
      </c>
      <c r="O380" s="3">
        <f>_xlfn.XLOOKUP(tblAsignaciones[[#This Row],[turno]],tblTurnos[turno],tblTurnos[hora_fin],"")</f>
        <v/>
      </c>
    </row>
    <row r="381">
      <c r="A381" s="3" t="inlineStr">
        <is>
          <t>2026-S32</t>
        </is>
      </c>
      <c r="B381" s="3" t="inlineStr">
        <is>
          <t>domingo</t>
        </is>
      </c>
      <c r="C381" s="3" t="inlineStr">
        <is>
          <t>Técnico 06</t>
        </is>
      </c>
      <c r="D381" s="3">
        <f>_xlfn.XLOOKUP(tblAsignaciones[[#This Row],[tecnico]],tblTecnicos[nombre],tblTecnicos[area],"")</f>
        <v/>
      </c>
      <c r="E381" s="3">
        <f>_xlfn.XLOOKUP(tblAsignaciones[[#This Row],[tecnico]],tblTecnicos[nombre],tblTecnicos[especialidad],"")</f>
        <v/>
      </c>
      <c r="F381" s="3">
        <f>COUNTIFS(tblTecnicos[rotativo],"SI",tblTecnicos[especialidad],tblAsignaciones[[#This Row],[especialidad]],tblTecnicos[area],tblAsignaciones[[#This Row],[area]])</f>
        <v/>
      </c>
      <c r="G3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6" t="n"/>
      <c r="I381" s="3">
        <f>IF(tblAsignaciones[[#This Row],[turno_manual]]&lt;&gt;"",tblAsignaciones[[#This Row],[turno_manual]],IF(LEFT(tblAsignaciones[[#This Row],[posicion_ciclo]],1)="B","B",tblAsignaciones[[#This Row],[posicion_ciclo]]))</f>
        <v/>
      </c>
      <c r="J381" s="3">
        <f>_xlfn.XLOOKUP(tblAsignaciones[[#This Row],[tecnico]],tblTecnicos[nombre],tblTecnicos[coordinador],"")</f>
        <v/>
      </c>
      <c r="K3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1" s="3">
        <f>tblAsignaciones[[#This Row],[semana]]&amp;"|"&amp;tblAsignaciones[[#This Row],[dia]]&amp;"|"&amp;tblAsignaciones[[#This Row],[tecnico]]</f>
        <v/>
      </c>
      <c r="N381" s="3">
        <f>_xlfn.XLOOKUP(tblAsignaciones[[#This Row],[turno]],tblTurnos[turno],tblTurnos[hora_inicio],"")</f>
        <v/>
      </c>
      <c r="O381" s="3">
        <f>_xlfn.XLOOKUP(tblAsignaciones[[#This Row],[turno]],tblTurnos[turno],tblTurnos[hora_fin],"")</f>
        <v/>
      </c>
    </row>
    <row r="382">
      <c r="A382" s="3" t="inlineStr">
        <is>
          <t>2026-S32</t>
        </is>
      </c>
      <c r="B382" s="3" t="inlineStr">
        <is>
          <t>lunes</t>
        </is>
      </c>
      <c r="C382" s="3" t="inlineStr">
        <is>
          <t>Técnico 07</t>
        </is>
      </c>
      <c r="D382" s="3">
        <f>_xlfn.XLOOKUP(tblAsignaciones[[#This Row],[tecnico]],tblTecnicos[nombre],tblTecnicos[area],"")</f>
        <v/>
      </c>
      <c r="E382" s="3">
        <f>_xlfn.XLOOKUP(tblAsignaciones[[#This Row],[tecnico]],tblTecnicos[nombre],tblTecnicos[especialidad],"")</f>
        <v/>
      </c>
      <c r="F382" s="3">
        <f>COUNTIFS(tblTecnicos[rotativo],"SI",tblTecnicos[especialidad],tblAsignaciones[[#This Row],[especialidad]],tblTecnicos[area],tblAsignaciones[[#This Row],[area]])</f>
        <v/>
      </c>
      <c r="G3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6" t="n"/>
      <c r="I382" s="3">
        <f>IF(tblAsignaciones[[#This Row],[turno_manual]]&lt;&gt;"",tblAsignaciones[[#This Row],[turno_manual]],IF(LEFT(tblAsignaciones[[#This Row],[posicion_ciclo]],1)="B","B",tblAsignaciones[[#This Row],[posicion_ciclo]]))</f>
        <v/>
      </c>
      <c r="J382" s="3">
        <f>_xlfn.XLOOKUP(tblAsignaciones[[#This Row],[tecnico]],tblTecnicos[nombre],tblTecnicos[coordinador],"")</f>
        <v/>
      </c>
      <c r="K3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2" s="3">
        <f>tblAsignaciones[[#This Row],[semana]]&amp;"|"&amp;tblAsignaciones[[#This Row],[dia]]&amp;"|"&amp;tblAsignaciones[[#This Row],[tecnico]]</f>
        <v/>
      </c>
      <c r="N382" s="3">
        <f>_xlfn.XLOOKUP(tblAsignaciones[[#This Row],[turno]],tblTurnos[turno],tblTurnos[hora_inicio],"")</f>
        <v/>
      </c>
      <c r="O382" s="3">
        <f>_xlfn.XLOOKUP(tblAsignaciones[[#This Row],[turno]],tblTurnos[turno],tblTurnos[hora_fin],"")</f>
        <v/>
      </c>
    </row>
    <row r="383">
      <c r="A383" s="3" t="inlineStr">
        <is>
          <t>2026-S32</t>
        </is>
      </c>
      <c r="B383" s="3" t="inlineStr">
        <is>
          <t>martes</t>
        </is>
      </c>
      <c r="C383" s="3" t="inlineStr">
        <is>
          <t>Técnico 07</t>
        </is>
      </c>
      <c r="D383" s="3">
        <f>_xlfn.XLOOKUP(tblAsignaciones[[#This Row],[tecnico]],tblTecnicos[nombre],tblTecnicos[area],"")</f>
        <v/>
      </c>
      <c r="E383" s="3">
        <f>_xlfn.XLOOKUP(tblAsignaciones[[#This Row],[tecnico]],tblTecnicos[nombre],tblTecnicos[especialidad],"")</f>
        <v/>
      </c>
      <c r="F383" s="3">
        <f>COUNTIFS(tblTecnicos[rotativo],"SI",tblTecnicos[especialidad],tblAsignaciones[[#This Row],[especialidad]],tblTecnicos[area],tblAsignaciones[[#This Row],[area]])</f>
        <v/>
      </c>
      <c r="G3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6" t="n"/>
      <c r="I383" s="3">
        <f>IF(tblAsignaciones[[#This Row],[turno_manual]]&lt;&gt;"",tblAsignaciones[[#This Row],[turno_manual]],IF(LEFT(tblAsignaciones[[#This Row],[posicion_ciclo]],1)="B","B",tblAsignaciones[[#This Row],[posicion_ciclo]]))</f>
        <v/>
      </c>
      <c r="J383" s="3">
        <f>_xlfn.XLOOKUP(tblAsignaciones[[#This Row],[tecnico]],tblTecnicos[nombre],tblTecnicos[coordinador],"")</f>
        <v/>
      </c>
      <c r="K3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3" s="3">
        <f>tblAsignaciones[[#This Row],[semana]]&amp;"|"&amp;tblAsignaciones[[#This Row],[dia]]&amp;"|"&amp;tblAsignaciones[[#This Row],[tecnico]]</f>
        <v/>
      </c>
      <c r="N383" s="3">
        <f>_xlfn.XLOOKUP(tblAsignaciones[[#This Row],[turno]],tblTurnos[turno],tblTurnos[hora_inicio],"")</f>
        <v/>
      </c>
      <c r="O383" s="3">
        <f>_xlfn.XLOOKUP(tblAsignaciones[[#This Row],[turno]],tblTurnos[turno],tblTurnos[hora_fin],"")</f>
        <v/>
      </c>
    </row>
    <row r="384">
      <c r="A384" s="3" t="inlineStr">
        <is>
          <t>2026-S32</t>
        </is>
      </c>
      <c r="B384" s="3" t="inlineStr">
        <is>
          <t>miércoles</t>
        </is>
      </c>
      <c r="C384" s="3" t="inlineStr">
        <is>
          <t>Técnico 07</t>
        </is>
      </c>
      <c r="D384" s="3">
        <f>_xlfn.XLOOKUP(tblAsignaciones[[#This Row],[tecnico]],tblTecnicos[nombre],tblTecnicos[area],"")</f>
        <v/>
      </c>
      <c r="E384" s="3">
        <f>_xlfn.XLOOKUP(tblAsignaciones[[#This Row],[tecnico]],tblTecnicos[nombre],tblTecnicos[especialidad],"")</f>
        <v/>
      </c>
      <c r="F384" s="3">
        <f>COUNTIFS(tblTecnicos[rotativo],"SI",tblTecnicos[especialidad],tblAsignaciones[[#This Row],[especialidad]],tblTecnicos[area],tblAsignaciones[[#This Row],[area]])</f>
        <v/>
      </c>
      <c r="G3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6" t="n"/>
      <c r="I384" s="3">
        <f>IF(tblAsignaciones[[#This Row],[turno_manual]]&lt;&gt;"",tblAsignaciones[[#This Row],[turno_manual]],IF(LEFT(tblAsignaciones[[#This Row],[posicion_ciclo]],1)="B","B",tblAsignaciones[[#This Row],[posicion_ciclo]]))</f>
        <v/>
      </c>
      <c r="J384" s="3">
        <f>_xlfn.XLOOKUP(tblAsignaciones[[#This Row],[tecnico]],tblTecnicos[nombre],tblTecnicos[coordinador],"")</f>
        <v/>
      </c>
      <c r="K3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4" s="3">
        <f>tblAsignaciones[[#This Row],[semana]]&amp;"|"&amp;tblAsignaciones[[#This Row],[dia]]&amp;"|"&amp;tblAsignaciones[[#This Row],[tecnico]]</f>
        <v/>
      </c>
      <c r="N384" s="3">
        <f>_xlfn.XLOOKUP(tblAsignaciones[[#This Row],[turno]],tblTurnos[turno],tblTurnos[hora_inicio],"")</f>
        <v/>
      </c>
      <c r="O384" s="3">
        <f>_xlfn.XLOOKUP(tblAsignaciones[[#This Row],[turno]],tblTurnos[turno],tblTurnos[hora_fin],"")</f>
        <v/>
      </c>
    </row>
    <row r="385">
      <c r="A385" s="3" t="inlineStr">
        <is>
          <t>2026-S32</t>
        </is>
      </c>
      <c r="B385" s="3" t="inlineStr">
        <is>
          <t>jueves</t>
        </is>
      </c>
      <c r="C385" s="3" t="inlineStr">
        <is>
          <t>Técnico 07</t>
        </is>
      </c>
      <c r="D385" s="3">
        <f>_xlfn.XLOOKUP(tblAsignaciones[[#This Row],[tecnico]],tblTecnicos[nombre],tblTecnicos[area],"")</f>
        <v/>
      </c>
      <c r="E385" s="3">
        <f>_xlfn.XLOOKUP(tblAsignaciones[[#This Row],[tecnico]],tblTecnicos[nombre],tblTecnicos[especialidad],"")</f>
        <v/>
      </c>
      <c r="F385" s="3">
        <f>COUNTIFS(tblTecnicos[rotativo],"SI",tblTecnicos[especialidad],tblAsignaciones[[#This Row],[especialidad]],tblTecnicos[area],tblAsignaciones[[#This Row],[area]])</f>
        <v/>
      </c>
      <c r="G3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6" t="n"/>
      <c r="I385" s="3">
        <f>IF(tblAsignaciones[[#This Row],[turno_manual]]&lt;&gt;"",tblAsignaciones[[#This Row],[turno_manual]],IF(LEFT(tblAsignaciones[[#This Row],[posicion_ciclo]],1)="B","B",tblAsignaciones[[#This Row],[posicion_ciclo]]))</f>
        <v/>
      </c>
      <c r="J385" s="3">
        <f>_xlfn.XLOOKUP(tblAsignaciones[[#This Row],[tecnico]],tblTecnicos[nombre],tblTecnicos[coordinador],"")</f>
        <v/>
      </c>
      <c r="K3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5" s="3">
        <f>tblAsignaciones[[#This Row],[semana]]&amp;"|"&amp;tblAsignaciones[[#This Row],[dia]]&amp;"|"&amp;tblAsignaciones[[#This Row],[tecnico]]</f>
        <v/>
      </c>
      <c r="N385" s="3">
        <f>_xlfn.XLOOKUP(tblAsignaciones[[#This Row],[turno]],tblTurnos[turno],tblTurnos[hora_inicio],"")</f>
        <v/>
      </c>
      <c r="O385" s="3">
        <f>_xlfn.XLOOKUP(tblAsignaciones[[#This Row],[turno]],tblTurnos[turno],tblTurnos[hora_fin],"")</f>
        <v/>
      </c>
    </row>
    <row r="386">
      <c r="A386" s="3" t="inlineStr">
        <is>
          <t>2026-S32</t>
        </is>
      </c>
      <c r="B386" s="3" t="inlineStr">
        <is>
          <t>viernes</t>
        </is>
      </c>
      <c r="C386" s="3" t="inlineStr">
        <is>
          <t>Técnico 07</t>
        </is>
      </c>
      <c r="D386" s="3">
        <f>_xlfn.XLOOKUP(tblAsignaciones[[#This Row],[tecnico]],tblTecnicos[nombre],tblTecnicos[area],"")</f>
        <v/>
      </c>
      <c r="E386" s="3">
        <f>_xlfn.XLOOKUP(tblAsignaciones[[#This Row],[tecnico]],tblTecnicos[nombre],tblTecnicos[especialidad],"")</f>
        <v/>
      </c>
      <c r="F386" s="3">
        <f>COUNTIFS(tblTecnicos[rotativo],"SI",tblTecnicos[especialidad],tblAsignaciones[[#This Row],[especialidad]],tblTecnicos[area],tblAsignaciones[[#This Row],[area]])</f>
        <v/>
      </c>
      <c r="G3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6" t="n"/>
      <c r="I386" s="3">
        <f>IF(tblAsignaciones[[#This Row],[turno_manual]]&lt;&gt;"",tblAsignaciones[[#This Row],[turno_manual]],IF(LEFT(tblAsignaciones[[#This Row],[posicion_ciclo]],1)="B","B",tblAsignaciones[[#This Row],[posicion_ciclo]]))</f>
        <v/>
      </c>
      <c r="J386" s="3">
        <f>_xlfn.XLOOKUP(tblAsignaciones[[#This Row],[tecnico]],tblTecnicos[nombre],tblTecnicos[coordinador],"")</f>
        <v/>
      </c>
      <c r="K3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6" s="3">
        <f>tblAsignaciones[[#This Row],[semana]]&amp;"|"&amp;tblAsignaciones[[#This Row],[dia]]&amp;"|"&amp;tblAsignaciones[[#This Row],[tecnico]]</f>
        <v/>
      </c>
      <c r="N386" s="3">
        <f>_xlfn.XLOOKUP(tblAsignaciones[[#This Row],[turno]],tblTurnos[turno],tblTurnos[hora_inicio],"")</f>
        <v/>
      </c>
      <c r="O386" s="3">
        <f>_xlfn.XLOOKUP(tblAsignaciones[[#This Row],[turno]],tblTurnos[turno],tblTurnos[hora_fin],"")</f>
        <v/>
      </c>
    </row>
    <row r="387">
      <c r="A387" s="3" t="inlineStr">
        <is>
          <t>2026-S32</t>
        </is>
      </c>
      <c r="B387" s="3" t="inlineStr">
        <is>
          <t>sábado</t>
        </is>
      </c>
      <c r="C387" s="3" t="inlineStr">
        <is>
          <t>Técnico 07</t>
        </is>
      </c>
      <c r="D387" s="3">
        <f>_xlfn.XLOOKUP(tblAsignaciones[[#This Row],[tecnico]],tblTecnicos[nombre],tblTecnicos[area],"")</f>
        <v/>
      </c>
      <c r="E387" s="3">
        <f>_xlfn.XLOOKUP(tblAsignaciones[[#This Row],[tecnico]],tblTecnicos[nombre],tblTecnicos[especialidad],"")</f>
        <v/>
      </c>
      <c r="F387" s="3">
        <f>COUNTIFS(tblTecnicos[rotativo],"SI",tblTecnicos[especialidad],tblAsignaciones[[#This Row],[especialidad]],tblTecnicos[area],tblAsignaciones[[#This Row],[area]])</f>
        <v/>
      </c>
      <c r="G3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6" t="n"/>
      <c r="I387" s="3">
        <f>IF(tblAsignaciones[[#This Row],[turno_manual]]&lt;&gt;"",tblAsignaciones[[#This Row],[turno_manual]],IF(LEFT(tblAsignaciones[[#This Row],[posicion_ciclo]],1)="B","B",tblAsignaciones[[#This Row],[posicion_ciclo]]))</f>
        <v/>
      </c>
      <c r="J387" s="3">
        <f>_xlfn.XLOOKUP(tblAsignaciones[[#This Row],[tecnico]],tblTecnicos[nombre],tblTecnicos[coordinador],"")</f>
        <v/>
      </c>
      <c r="K3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7" s="3">
        <f>tblAsignaciones[[#This Row],[semana]]&amp;"|"&amp;tblAsignaciones[[#This Row],[dia]]&amp;"|"&amp;tblAsignaciones[[#This Row],[tecnico]]</f>
        <v/>
      </c>
      <c r="N387" s="3">
        <f>_xlfn.XLOOKUP(tblAsignaciones[[#This Row],[turno]],tblTurnos[turno],tblTurnos[hora_inicio],"")</f>
        <v/>
      </c>
      <c r="O387" s="3">
        <f>_xlfn.XLOOKUP(tblAsignaciones[[#This Row],[turno]],tblTurnos[turno],tblTurnos[hora_fin],"")</f>
        <v/>
      </c>
    </row>
    <row r="388">
      <c r="A388" s="3" t="inlineStr">
        <is>
          <t>2026-S32</t>
        </is>
      </c>
      <c r="B388" s="3" t="inlineStr">
        <is>
          <t>domingo</t>
        </is>
      </c>
      <c r="C388" s="3" t="inlineStr">
        <is>
          <t>Técnico 07</t>
        </is>
      </c>
      <c r="D388" s="3">
        <f>_xlfn.XLOOKUP(tblAsignaciones[[#This Row],[tecnico]],tblTecnicos[nombre],tblTecnicos[area],"")</f>
        <v/>
      </c>
      <c r="E388" s="3">
        <f>_xlfn.XLOOKUP(tblAsignaciones[[#This Row],[tecnico]],tblTecnicos[nombre],tblTecnicos[especialidad],"")</f>
        <v/>
      </c>
      <c r="F388" s="3">
        <f>COUNTIFS(tblTecnicos[rotativo],"SI",tblTecnicos[especialidad],tblAsignaciones[[#This Row],[especialidad]],tblTecnicos[area],tblAsignaciones[[#This Row],[area]])</f>
        <v/>
      </c>
      <c r="G3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6" t="n"/>
      <c r="I388" s="3">
        <f>IF(tblAsignaciones[[#This Row],[turno_manual]]&lt;&gt;"",tblAsignaciones[[#This Row],[turno_manual]],IF(LEFT(tblAsignaciones[[#This Row],[posicion_ciclo]],1)="B","B",tblAsignaciones[[#This Row],[posicion_ciclo]]))</f>
        <v/>
      </c>
      <c r="J388" s="3">
        <f>_xlfn.XLOOKUP(tblAsignaciones[[#This Row],[tecnico]],tblTecnicos[nombre],tblTecnicos[coordinador],"")</f>
        <v/>
      </c>
      <c r="K3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8" s="3">
        <f>tblAsignaciones[[#This Row],[semana]]&amp;"|"&amp;tblAsignaciones[[#This Row],[dia]]&amp;"|"&amp;tblAsignaciones[[#This Row],[tecnico]]</f>
        <v/>
      </c>
      <c r="N388" s="3">
        <f>_xlfn.XLOOKUP(tblAsignaciones[[#This Row],[turno]],tblTurnos[turno],tblTurnos[hora_inicio],"")</f>
        <v/>
      </c>
      <c r="O388" s="3">
        <f>_xlfn.XLOOKUP(tblAsignaciones[[#This Row],[turno]],tblTurnos[turno],tblTurnos[hora_fin],"")</f>
        <v/>
      </c>
    </row>
    <row r="389">
      <c r="A389" s="3" t="inlineStr">
        <is>
          <t>2026-S32</t>
        </is>
      </c>
      <c r="B389" s="3" t="inlineStr">
        <is>
          <t>lunes</t>
        </is>
      </c>
      <c r="C389" s="3" t="inlineStr">
        <is>
          <t>Técnico 08</t>
        </is>
      </c>
      <c r="D389" s="3">
        <f>_xlfn.XLOOKUP(tblAsignaciones[[#This Row],[tecnico]],tblTecnicos[nombre],tblTecnicos[area],"")</f>
        <v/>
      </c>
      <c r="E389" s="3">
        <f>_xlfn.XLOOKUP(tblAsignaciones[[#This Row],[tecnico]],tblTecnicos[nombre],tblTecnicos[especialidad],"")</f>
        <v/>
      </c>
      <c r="F389" s="3">
        <f>COUNTIFS(tblTecnicos[rotativo],"SI",tblTecnicos[especialidad],tblAsignaciones[[#This Row],[especialidad]],tblTecnicos[area],tblAsignaciones[[#This Row],[area]])</f>
        <v/>
      </c>
      <c r="G3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6" t="n"/>
      <c r="I389" s="3">
        <f>IF(tblAsignaciones[[#This Row],[turno_manual]]&lt;&gt;"",tblAsignaciones[[#This Row],[turno_manual]],IF(LEFT(tblAsignaciones[[#This Row],[posicion_ciclo]],1)="B","B",tblAsignaciones[[#This Row],[posicion_ciclo]]))</f>
        <v/>
      </c>
      <c r="J389" s="3">
        <f>_xlfn.XLOOKUP(tblAsignaciones[[#This Row],[tecnico]],tblTecnicos[nombre],tblTecnicos[coordinador],"")</f>
        <v/>
      </c>
      <c r="K3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89" s="3">
        <f>tblAsignaciones[[#This Row],[semana]]&amp;"|"&amp;tblAsignaciones[[#This Row],[dia]]&amp;"|"&amp;tblAsignaciones[[#This Row],[tecnico]]</f>
        <v/>
      </c>
      <c r="N389" s="3">
        <f>_xlfn.XLOOKUP(tblAsignaciones[[#This Row],[turno]],tblTurnos[turno],tblTurnos[hora_inicio],"")</f>
        <v/>
      </c>
      <c r="O389" s="3">
        <f>_xlfn.XLOOKUP(tblAsignaciones[[#This Row],[turno]],tblTurnos[turno],tblTurnos[hora_fin],"")</f>
        <v/>
      </c>
    </row>
    <row r="390">
      <c r="A390" s="3" t="inlineStr">
        <is>
          <t>2026-S32</t>
        </is>
      </c>
      <c r="B390" s="3" t="inlineStr">
        <is>
          <t>martes</t>
        </is>
      </c>
      <c r="C390" s="3" t="inlineStr">
        <is>
          <t>Técnico 08</t>
        </is>
      </c>
      <c r="D390" s="3">
        <f>_xlfn.XLOOKUP(tblAsignaciones[[#This Row],[tecnico]],tblTecnicos[nombre],tblTecnicos[area],"")</f>
        <v/>
      </c>
      <c r="E390" s="3">
        <f>_xlfn.XLOOKUP(tblAsignaciones[[#This Row],[tecnico]],tblTecnicos[nombre],tblTecnicos[especialidad],"")</f>
        <v/>
      </c>
      <c r="F390" s="3">
        <f>COUNTIFS(tblTecnicos[rotativo],"SI",tblTecnicos[especialidad],tblAsignaciones[[#This Row],[especialidad]],tblTecnicos[area],tblAsignaciones[[#This Row],[area]])</f>
        <v/>
      </c>
      <c r="G3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6" t="n"/>
      <c r="I390" s="3">
        <f>IF(tblAsignaciones[[#This Row],[turno_manual]]&lt;&gt;"",tblAsignaciones[[#This Row],[turno_manual]],IF(LEFT(tblAsignaciones[[#This Row],[posicion_ciclo]],1)="B","B",tblAsignaciones[[#This Row],[posicion_ciclo]]))</f>
        <v/>
      </c>
      <c r="J390" s="3">
        <f>_xlfn.XLOOKUP(tblAsignaciones[[#This Row],[tecnico]],tblTecnicos[nombre],tblTecnicos[coordinador],"")</f>
        <v/>
      </c>
      <c r="K3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0" s="3">
        <f>tblAsignaciones[[#This Row],[semana]]&amp;"|"&amp;tblAsignaciones[[#This Row],[dia]]&amp;"|"&amp;tblAsignaciones[[#This Row],[tecnico]]</f>
        <v/>
      </c>
      <c r="N390" s="3">
        <f>_xlfn.XLOOKUP(tblAsignaciones[[#This Row],[turno]],tblTurnos[turno],tblTurnos[hora_inicio],"")</f>
        <v/>
      </c>
      <c r="O390" s="3">
        <f>_xlfn.XLOOKUP(tblAsignaciones[[#This Row],[turno]],tblTurnos[turno],tblTurnos[hora_fin],"")</f>
        <v/>
      </c>
    </row>
    <row r="391">
      <c r="A391" s="3" t="inlineStr">
        <is>
          <t>2026-S32</t>
        </is>
      </c>
      <c r="B391" s="3" t="inlineStr">
        <is>
          <t>miércoles</t>
        </is>
      </c>
      <c r="C391" s="3" t="inlineStr">
        <is>
          <t>Técnico 08</t>
        </is>
      </c>
      <c r="D391" s="3">
        <f>_xlfn.XLOOKUP(tblAsignaciones[[#This Row],[tecnico]],tblTecnicos[nombre],tblTecnicos[area],"")</f>
        <v/>
      </c>
      <c r="E391" s="3">
        <f>_xlfn.XLOOKUP(tblAsignaciones[[#This Row],[tecnico]],tblTecnicos[nombre],tblTecnicos[especialidad],"")</f>
        <v/>
      </c>
      <c r="F391" s="3">
        <f>COUNTIFS(tblTecnicos[rotativo],"SI",tblTecnicos[especialidad],tblAsignaciones[[#This Row],[especialidad]],tblTecnicos[area],tblAsignaciones[[#This Row],[area]])</f>
        <v/>
      </c>
      <c r="G3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6" t="n"/>
      <c r="I391" s="3">
        <f>IF(tblAsignaciones[[#This Row],[turno_manual]]&lt;&gt;"",tblAsignaciones[[#This Row],[turno_manual]],IF(LEFT(tblAsignaciones[[#This Row],[posicion_ciclo]],1)="B","B",tblAsignaciones[[#This Row],[posicion_ciclo]]))</f>
        <v/>
      </c>
      <c r="J391" s="3">
        <f>_xlfn.XLOOKUP(tblAsignaciones[[#This Row],[tecnico]],tblTecnicos[nombre],tblTecnicos[coordinador],"")</f>
        <v/>
      </c>
      <c r="K3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1" s="3">
        <f>tblAsignaciones[[#This Row],[semana]]&amp;"|"&amp;tblAsignaciones[[#This Row],[dia]]&amp;"|"&amp;tblAsignaciones[[#This Row],[tecnico]]</f>
        <v/>
      </c>
      <c r="N391" s="3">
        <f>_xlfn.XLOOKUP(tblAsignaciones[[#This Row],[turno]],tblTurnos[turno],tblTurnos[hora_inicio],"")</f>
        <v/>
      </c>
      <c r="O391" s="3">
        <f>_xlfn.XLOOKUP(tblAsignaciones[[#This Row],[turno]],tblTurnos[turno],tblTurnos[hora_fin],"")</f>
        <v/>
      </c>
    </row>
    <row r="392">
      <c r="A392" s="3" t="inlineStr">
        <is>
          <t>2026-S32</t>
        </is>
      </c>
      <c r="B392" s="3" t="inlineStr">
        <is>
          <t>jueves</t>
        </is>
      </c>
      <c r="C392" s="3" t="inlineStr">
        <is>
          <t>Técnico 08</t>
        </is>
      </c>
      <c r="D392" s="3">
        <f>_xlfn.XLOOKUP(tblAsignaciones[[#This Row],[tecnico]],tblTecnicos[nombre],tblTecnicos[area],"")</f>
        <v/>
      </c>
      <c r="E392" s="3">
        <f>_xlfn.XLOOKUP(tblAsignaciones[[#This Row],[tecnico]],tblTecnicos[nombre],tblTecnicos[especialidad],"")</f>
        <v/>
      </c>
      <c r="F392" s="3">
        <f>COUNTIFS(tblTecnicos[rotativo],"SI",tblTecnicos[especialidad],tblAsignaciones[[#This Row],[especialidad]],tblTecnicos[area],tblAsignaciones[[#This Row],[area]])</f>
        <v/>
      </c>
      <c r="G3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6" t="n"/>
      <c r="I392" s="3">
        <f>IF(tblAsignaciones[[#This Row],[turno_manual]]&lt;&gt;"",tblAsignaciones[[#This Row],[turno_manual]],IF(LEFT(tblAsignaciones[[#This Row],[posicion_ciclo]],1)="B","B",tblAsignaciones[[#This Row],[posicion_ciclo]]))</f>
        <v/>
      </c>
      <c r="J392" s="3">
        <f>_xlfn.XLOOKUP(tblAsignaciones[[#This Row],[tecnico]],tblTecnicos[nombre],tblTecnicos[coordinador],"")</f>
        <v/>
      </c>
      <c r="K3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2" s="3">
        <f>tblAsignaciones[[#This Row],[semana]]&amp;"|"&amp;tblAsignaciones[[#This Row],[dia]]&amp;"|"&amp;tblAsignaciones[[#This Row],[tecnico]]</f>
        <v/>
      </c>
      <c r="N392" s="3">
        <f>_xlfn.XLOOKUP(tblAsignaciones[[#This Row],[turno]],tblTurnos[turno],tblTurnos[hora_inicio],"")</f>
        <v/>
      </c>
      <c r="O392" s="3">
        <f>_xlfn.XLOOKUP(tblAsignaciones[[#This Row],[turno]],tblTurnos[turno],tblTurnos[hora_fin],"")</f>
        <v/>
      </c>
    </row>
    <row r="393">
      <c r="A393" s="3" t="inlineStr">
        <is>
          <t>2026-S32</t>
        </is>
      </c>
      <c r="B393" s="3" t="inlineStr">
        <is>
          <t>viernes</t>
        </is>
      </c>
      <c r="C393" s="3" t="inlineStr">
        <is>
          <t>Técnico 08</t>
        </is>
      </c>
      <c r="D393" s="3">
        <f>_xlfn.XLOOKUP(tblAsignaciones[[#This Row],[tecnico]],tblTecnicos[nombre],tblTecnicos[area],"")</f>
        <v/>
      </c>
      <c r="E393" s="3">
        <f>_xlfn.XLOOKUP(tblAsignaciones[[#This Row],[tecnico]],tblTecnicos[nombre],tblTecnicos[especialidad],"")</f>
        <v/>
      </c>
      <c r="F393" s="3">
        <f>COUNTIFS(tblTecnicos[rotativo],"SI",tblTecnicos[especialidad],tblAsignaciones[[#This Row],[especialidad]],tblTecnicos[area],tblAsignaciones[[#This Row],[area]])</f>
        <v/>
      </c>
      <c r="G3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6" t="n"/>
      <c r="I393" s="3">
        <f>IF(tblAsignaciones[[#This Row],[turno_manual]]&lt;&gt;"",tblAsignaciones[[#This Row],[turno_manual]],IF(LEFT(tblAsignaciones[[#This Row],[posicion_ciclo]],1)="B","B",tblAsignaciones[[#This Row],[posicion_ciclo]]))</f>
        <v/>
      </c>
      <c r="J393" s="3">
        <f>_xlfn.XLOOKUP(tblAsignaciones[[#This Row],[tecnico]],tblTecnicos[nombre],tblTecnicos[coordinador],"")</f>
        <v/>
      </c>
      <c r="K3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3" s="3">
        <f>tblAsignaciones[[#This Row],[semana]]&amp;"|"&amp;tblAsignaciones[[#This Row],[dia]]&amp;"|"&amp;tblAsignaciones[[#This Row],[tecnico]]</f>
        <v/>
      </c>
      <c r="N393" s="3">
        <f>_xlfn.XLOOKUP(tblAsignaciones[[#This Row],[turno]],tblTurnos[turno],tblTurnos[hora_inicio],"")</f>
        <v/>
      </c>
      <c r="O393" s="3">
        <f>_xlfn.XLOOKUP(tblAsignaciones[[#This Row],[turno]],tblTurnos[turno],tblTurnos[hora_fin],"")</f>
        <v/>
      </c>
    </row>
    <row r="394">
      <c r="A394" s="3" t="inlineStr">
        <is>
          <t>2026-S32</t>
        </is>
      </c>
      <c r="B394" s="3" t="inlineStr">
        <is>
          <t>sábado</t>
        </is>
      </c>
      <c r="C394" s="3" t="inlineStr">
        <is>
          <t>Técnico 08</t>
        </is>
      </c>
      <c r="D394" s="3">
        <f>_xlfn.XLOOKUP(tblAsignaciones[[#This Row],[tecnico]],tblTecnicos[nombre],tblTecnicos[area],"")</f>
        <v/>
      </c>
      <c r="E394" s="3">
        <f>_xlfn.XLOOKUP(tblAsignaciones[[#This Row],[tecnico]],tblTecnicos[nombre],tblTecnicos[especialidad],"")</f>
        <v/>
      </c>
      <c r="F394" s="3">
        <f>COUNTIFS(tblTecnicos[rotativo],"SI",tblTecnicos[especialidad],tblAsignaciones[[#This Row],[especialidad]],tblTecnicos[area],tblAsignaciones[[#This Row],[area]])</f>
        <v/>
      </c>
      <c r="G3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6" t="n"/>
      <c r="I394" s="3">
        <f>IF(tblAsignaciones[[#This Row],[turno_manual]]&lt;&gt;"",tblAsignaciones[[#This Row],[turno_manual]],IF(LEFT(tblAsignaciones[[#This Row],[posicion_ciclo]],1)="B","B",tblAsignaciones[[#This Row],[posicion_ciclo]]))</f>
        <v/>
      </c>
      <c r="J394" s="3">
        <f>_xlfn.XLOOKUP(tblAsignaciones[[#This Row],[tecnico]],tblTecnicos[nombre],tblTecnicos[coordinador],"")</f>
        <v/>
      </c>
      <c r="K3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4" s="3">
        <f>tblAsignaciones[[#This Row],[semana]]&amp;"|"&amp;tblAsignaciones[[#This Row],[dia]]&amp;"|"&amp;tblAsignaciones[[#This Row],[tecnico]]</f>
        <v/>
      </c>
      <c r="N394" s="3">
        <f>_xlfn.XLOOKUP(tblAsignaciones[[#This Row],[turno]],tblTurnos[turno],tblTurnos[hora_inicio],"")</f>
        <v/>
      </c>
      <c r="O394" s="3">
        <f>_xlfn.XLOOKUP(tblAsignaciones[[#This Row],[turno]],tblTurnos[turno],tblTurnos[hora_fin],"")</f>
        <v/>
      </c>
    </row>
    <row r="395">
      <c r="A395" s="3" t="inlineStr">
        <is>
          <t>2026-S32</t>
        </is>
      </c>
      <c r="B395" s="3" t="inlineStr">
        <is>
          <t>domingo</t>
        </is>
      </c>
      <c r="C395" s="3" t="inlineStr">
        <is>
          <t>Técnico 08</t>
        </is>
      </c>
      <c r="D395" s="3">
        <f>_xlfn.XLOOKUP(tblAsignaciones[[#This Row],[tecnico]],tblTecnicos[nombre],tblTecnicos[area],"")</f>
        <v/>
      </c>
      <c r="E395" s="3">
        <f>_xlfn.XLOOKUP(tblAsignaciones[[#This Row],[tecnico]],tblTecnicos[nombre],tblTecnicos[especialidad],"")</f>
        <v/>
      </c>
      <c r="F395" s="3">
        <f>COUNTIFS(tblTecnicos[rotativo],"SI",tblTecnicos[especialidad],tblAsignaciones[[#This Row],[especialidad]],tblTecnicos[area],tblAsignaciones[[#This Row],[area]])</f>
        <v/>
      </c>
      <c r="G3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6" t="n"/>
      <c r="I395" s="3">
        <f>IF(tblAsignaciones[[#This Row],[turno_manual]]&lt;&gt;"",tblAsignaciones[[#This Row],[turno_manual]],IF(LEFT(tblAsignaciones[[#This Row],[posicion_ciclo]],1)="B","B",tblAsignaciones[[#This Row],[posicion_ciclo]]))</f>
        <v/>
      </c>
      <c r="J395" s="3">
        <f>_xlfn.XLOOKUP(tblAsignaciones[[#This Row],[tecnico]],tblTecnicos[nombre],tblTecnicos[coordinador],"")</f>
        <v/>
      </c>
      <c r="K3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5" s="3">
        <f>tblAsignaciones[[#This Row],[semana]]&amp;"|"&amp;tblAsignaciones[[#This Row],[dia]]&amp;"|"&amp;tblAsignaciones[[#This Row],[tecnico]]</f>
        <v/>
      </c>
      <c r="N395" s="3">
        <f>_xlfn.XLOOKUP(tblAsignaciones[[#This Row],[turno]],tblTurnos[turno],tblTurnos[hora_inicio],"")</f>
        <v/>
      </c>
      <c r="O395" s="3">
        <f>_xlfn.XLOOKUP(tblAsignaciones[[#This Row],[turno]],tblTurnos[turno],tblTurnos[hora_fin],"")</f>
        <v/>
      </c>
    </row>
    <row r="396">
      <c r="A396" s="3" t="inlineStr">
        <is>
          <t>2026-S32</t>
        </is>
      </c>
      <c r="B396" s="3" t="inlineStr">
        <is>
          <t>lunes</t>
        </is>
      </c>
      <c r="C396" s="3" t="inlineStr">
        <is>
          <t>Técnico 09</t>
        </is>
      </c>
      <c r="D396" s="3">
        <f>_xlfn.XLOOKUP(tblAsignaciones[[#This Row],[tecnico]],tblTecnicos[nombre],tblTecnicos[area],"")</f>
        <v/>
      </c>
      <c r="E396" s="3">
        <f>_xlfn.XLOOKUP(tblAsignaciones[[#This Row],[tecnico]],tblTecnicos[nombre],tblTecnicos[especialidad],"")</f>
        <v/>
      </c>
      <c r="F396" s="3">
        <f>COUNTIFS(tblTecnicos[rotativo],"SI",tblTecnicos[especialidad],tblAsignaciones[[#This Row],[especialidad]],tblTecnicos[area],tblAsignaciones[[#This Row],[area]])</f>
        <v/>
      </c>
      <c r="G3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6" t="n"/>
      <c r="I396" s="3">
        <f>IF(tblAsignaciones[[#This Row],[turno_manual]]&lt;&gt;"",tblAsignaciones[[#This Row],[turno_manual]],IF(LEFT(tblAsignaciones[[#This Row],[posicion_ciclo]],1)="B","B",tblAsignaciones[[#This Row],[posicion_ciclo]]))</f>
        <v/>
      </c>
      <c r="J396" s="3">
        <f>_xlfn.XLOOKUP(tblAsignaciones[[#This Row],[tecnico]],tblTecnicos[nombre],tblTecnicos[coordinador],"")</f>
        <v/>
      </c>
      <c r="K3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6" s="3">
        <f>tblAsignaciones[[#This Row],[semana]]&amp;"|"&amp;tblAsignaciones[[#This Row],[dia]]&amp;"|"&amp;tblAsignaciones[[#This Row],[tecnico]]</f>
        <v/>
      </c>
      <c r="N396" s="3">
        <f>_xlfn.XLOOKUP(tblAsignaciones[[#This Row],[turno]],tblTurnos[turno],tblTurnos[hora_inicio],"")</f>
        <v/>
      </c>
      <c r="O396" s="3">
        <f>_xlfn.XLOOKUP(tblAsignaciones[[#This Row],[turno]],tblTurnos[turno],tblTurnos[hora_fin],"")</f>
        <v/>
      </c>
    </row>
    <row r="397">
      <c r="A397" s="3" t="inlineStr">
        <is>
          <t>2026-S32</t>
        </is>
      </c>
      <c r="B397" s="3" t="inlineStr">
        <is>
          <t>martes</t>
        </is>
      </c>
      <c r="C397" s="3" t="inlineStr">
        <is>
          <t>Técnico 09</t>
        </is>
      </c>
      <c r="D397" s="3">
        <f>_xlfn.XLOOKUP(tblAsignaciones[[#This Row],[tecnico]],tblTecnicos[nombre],tblTecnicos[area],"")</f>
        <v/>
      </c>
      <c r="E397" s="3">
        <f>_xlfn.XLOOKUP(tblAsignaciones[[#This Row],[tecnico]],tblTecnicos[nombre],tblTecnicos[especialidad],"")</f>
        <v/>
      </c>
      <c r="F397" s="3">
        <f>COUNTIFS(tblTecnicos[rotativo],"SI",tblTecnicos[especialidad],tblAsignaciones[[#This Row],[especialidad]],tblTecnicos[area],tblAsignaciones[[#This Row],[area]])</f>
        <v/>
      </c>
      <c r="G3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6" t="n"/>
      <c r="I397" s="3">
        <f>IF(tblAsignaciones[[#This Row],[turno_manual]]&lt;&gt;"",tblAsignaciones[[#This Row],[turno_manual]],IF(LEFT(tblAsignaciones[[#This Row],[posicion_ciclo]],1)="B","B",tblAsignaciones[[#This Row],[posicion_ciclo]]))</f>
        <v/>
      </c>
      <c r="J397" s="3">
        <f>_xlfn.XLOOKUP(tblAsignaciones[[#This Row],[tecnico]],tblTecnicos[nombre],tblTecnicos[coordinador],"")</f>
        <v/>
      </c>
      <c r="K3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7" s="3">
        <f>tblAsignaciones[[#This Row],[semana]]&amp;"|"&amp;tblAsignaciones[[#This Row],[dia]]&amp;"|"&amp;tblAsignaciones[[#This Row],[tecnico]]</f>
        <v/>
      </c>
      <c r="N397" s="3">
        <f>_xlfn.XLOOKUP(tblAsignaciones[[#This Row],[turno]],tblTurnos[turno],tblTurnos[hora_inicio],"")</f>
        <v/>
      </c>
      <c r="O397" s="3">
        <f>_xlfn.XLOOKUP(tblAsignaciones[[#This Row],[turno]],tblTurnos[turno],tblTurnos[hora_fin],"")</f>
        <v/>
      </c>
    </row>
    <row r="398">
      <c r="A398" s="3" t="inlineStr">
        <is>
          <t>2026-S32</t>
        </is>
      </c>
      <c r="B398" s="3" t="inlineStr">
        <is>
          <t>miércoles</t>
        </is>
      </c>
      <c r="C398" s="3" t="inlineStr">
        <is>
          <t>Técnico 09</t>
        </is>
      </c>
      <c r="D398" s="3">
        <f>_xlfn.XLOOKUP(tblAsignaciones[[#This Row],[tecnico]],tblTecnicos[nombre],tblTecnicos[area],"")</f>
        <v/>
      </c>
      <c r="E398" s="3">
        <f>_xlfn.XLOOKUP(tblAsignaciones[[#This Row],[tecnico]],tblTecnicos[nombre],tblTecnicos[especialidad],"")</f>
        <v/>
      </c>
      <c r="F398" s="3">
        <f>COUNTIFS(tblTecnicos[rotativo],"SI",tblTecnicos[especialidad],tblAsignaciones[[#This Row],[especialidad]],tblTecnicos[area],tblAsignaciones[[#This Row],[area]])</f>
        <v/>
      </c>
      <c r="G3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6" t="n"/>
      <c r="I398" s="3">
        <f>IF(tblAsignaciones[[#This Row],[turno_manual]]&lt;&gt;"",tblAsignaciones[[#This Row],[turno_manual]],IF(LEFT(tblAsignaciones[[#This Row],[posicion_ciclo]],1)="B","B",tblAsignaciones[[#This Row],[posicion_ciclo]]))</f>
        <v/>
      </c>
      <c r="J398" s="3">
        <f>_xlfn.XLOOKUP(tblAsignaciones[[#This Row],[tecnico]],tblTecnicos[nombre],tblTecnicos[coordinador],"")</f>
        <v/>
      </c>
      <c r="K3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8" s="3">
        <f>tblAsignaciones[[#This Row],[semana]]&amp;"|"&amp;tblAsignaciones[[#This Row],[dia]]&amp;"|"&amp;tblAsignaciones[[#This Row],[tecnico]]</f>
        <v/>
      </c>
      <c r="N398" s="3">
        <f>_xlfn.XLOOKUP(tblAsignaciones[[#This Row],[turno]],tblTurnos[turno],tblTurnos[hora_inicio],"")</f>
        <v/>
      </c>
      <c r="O398" s="3">
        <f>_xlfn.XLOOKUP(tblAsignaciones[[#This Row],[turno]],tblTurnos[turno],tblTurnos[hora_fin],"")</f>
        <v/>
      </c>
    </row>
    <row r="399">
      <c r="A399" s="3" t="inlineStr">
        <is>
          <t>2026-S32</t>
        </is>
      </c>
      <c r="B399" s="3" t="inlineStr">
        <is>
          <t>jueves</t>
        </is>
      </c>
      <c r="C399" s="3" t="inlineStr">
        <is>
          <t>Técnico 09</t>
        </is>
      </c>
      <c r="D399" s="3">
        <f>_xlfn.XLOOKUP(tblAsignaciones[[#This Row],[tecnico]],tblTecnicos[nombre],tblTecnicos[area],"")</f>
        <v/>
      </c>
      <c r="E399" s="3">
        <f>_xlfn.XLOOKUP(tblAsignaciones[[#This Row],[tecnico]],tblTecnicos[nombre],tblTecnicos[especialidad],"")</f>
        <v/>
      </c>
      <c r="F399" s="3">
        <f>COUNTIFS(tblTecnicos[rotativo],"SI",tblTecnicos[especialidad],tblAsignaciones[[#This Row],[especialidad]],tblTecnicos[area],tblAsignaciones[[#This Row],[area]])</f>
        <v/>
      </c>
      <c r="G3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6" t="n"/>
      <c r="I399" s="3">
        <f>IF(tblAsignaciones[[#This Row],[turno_manual]]&lt;&gt;"",tblAsignaciones[[#This Row],[turno_manual]],IF(LEFT(tblAsignaciones[[#This Row],[posicion_ciclo]],1)="B","B",tblAsignaciones[[#This Row],[posicion_ciclo]]))</f>
        <v/>
      </c>
      <c r="J399" s="3">
        <f>_xlfn.XLOOKUP(tblAsignaciones[[#This Row],[tecnico]],tblTecnicos[nombre],tblTecnicos[coordinador],"")</f>
        <v/>
      </c>
      <c r="K3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3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399" s="3">
        <f>tblAsignaciones[[#This Row],[semana]]&amp;"|"&amp;tblAsignaciones[[#This Row],[dia]]&amp;"|"&amp;tblAsignaciones[[#This Row],[tecnico]]</f>
        <v/>
      </c>
      <c r="N399" s="3">
        <f>_xlfn.XLOOKUP(tblAsignaciones[[#This Row],[turno]],tblTurnos[turno],tblTurnos[hora_inicio],"")</f>
        <v/>
      </c>
      <c r="O399" s="3">
        <f>_xlfn.XLOOKUP(tblAsignaciones[[#This Row],[turno]],tblTurnos[turno],tblTurnos[hora_fin],"")</f>
        <v/>
      </c>
    </row>
    <row r="400">
      <c r="A400" s="3" t="inlineStr">
        <is>
          <t>2026-S32</t>
        </is>
      </c>
      <c r="B400" s="3" t="inlineStr">
        <is>
          <t>viernes</t>
        </is>
      </c>
      <c r="C400" s="3" t="inlineStr">
        <is>
          <t>Técnico 09</t>
        </is>
      </c>
      <c r="D400" s="3">
        <f>_xlfn.XLOOKUP(tblAsignaciones[[#This Row],[tecnico]],tblTecnicos[nombre],tblTecnicos[area],"")</f>
        <v/>
      </c>
      <c r="E400" s="3">
        <f>_xlfn.XLOOKUP(tblAsignaciones[[#This Row],[tecnico]],tblTecnicos[nombre],tblTecnicos[especialidad],"")</f>
        <v/>
      </c>
      <c r="F400" s="3">
        <f>COUNTIFS(tblTecnicos[rotativo],"SI",tblTecnicos[especialidad],tblAsignaciones[[#This Row],[especialidad]],tblTecnicos[area],tblAsignaciones[[#This Row],[area]])</f>
        <v/>
      </c>
      <c r="G4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6" t="n"/>
      <c r="I400" s="3">
        <f>IF(tblAsignaciones[[#This Row],[turno_manual]]&lt;&gt;"",tblAsignaciones[[#This Row],[turno_manual]],IF(LEFT(tblAsignaciones[[#This Row],[posicion_ciclo]],1)="B","B",tblAsignaciones[[#This Row],[posicion_ciclo]]))</f>
        <v/>
      </c>
      <c r="J400" s="3">
        <f>_xlfn.XLOOKUP(tblAsignaciones[[#This Row],[tecnico]],tblTecnicos[nombre],tblTecnicos[coordinador],"")</f>
        <v/>
      </c>
      <c r="K4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0" s="3">
        <f>tblAsignaciones[[#This Row],[semana]]&amp;"|"&amp;tblAsignaciones[[#This Row],[dia]]&amp;"|"&amp;tblAsignaciones[[#This Row],[tecnico]]</f>
        <v/>
      </c>
      <c r="N400" s="3">
        <f>_xlfn.XLOOKUP(tblAsignaciones[[#This Row],[turno]],tblTurnos[turno],tblTurnos[hora_inicio],"")</f>
        <v/>
      </c>
      <c r="O400" s="3">
        <f>_xlfn.XLOOKUP(tblAsignaciones[[#This Row],[turno]],tblTurnos[turno],tblTurnos[hora_fin],"")</f>
        <v/>
      </c>
    </row>
    <row r="401">
      <c r="A401" s="3" t="inlineStr">
        <is>
          <t>2026-S32</t>
        </is>
      </c>
      <c r="B401" s="3" t="inlineStr">
        <is>
          <t>sábado</t>
        </is>
      </c>
      <c r="C401" s="3" t="inlineStr">
        <is>
          <t>Técnico 09</t>
        </is>
      </c>
      <c r="D401" s="3">
        <f>_xlfn.XLOOKUP(tblAsignaciones[[#This Row],[tecnico]],tblTecnicos[nombre],tblTecnicos[area],"")</f>
        <v/>
      </c>
      <c r="E401" s="3">
        <f>_xlfn.XLOOKUP(tblAsignaciones[[#This Row],[tecnico]],tblTecnicos[nombre],tblTecnicos[especialidad],"")</f>
        <v/>
      </c>
      <c r="F401" s="3">
        <f>COUNTIFS(tblTecnicos[rotativo],"SI",tblTecnicos[especialidad],tblAsignaciones[[#This Row],[especialidad]],tblTecnicos[area],tblAsignaciones[[#This Row],[area]])</f>
        <v/>
      </c>
      <c r="G4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6" t="n"/>
      <c r="I401" s="3">
        <f>IF(tblAsignaciones[[#This Row],[turno_manual]]&lt;&gt;"",tblAsignaciones[[#This Row],[turno_manual]],IF(LEFT(tblAsignaciones[[#This Row],[posicion_ciclo]],1)="B","B",tblAsignaciones[[#This Row],[posicion_ciclo]]))</f>
        <v/>
      </c>
      <c r="J401" s="3">
        <f>_xlfn.XLOOKUP(tblAsignaciones[[#This Row],[tecnico]],tblTecnicos[nombre],tblTecnicos[coordinador],"")</f>
        <v/>
      </c>
      <c r="K4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1" s="3">
        <f>tblAsignaciones[[#This Row],[semana]]&amp;"|"&amp;tblAsignaciones[[#This Row],[dia]]&amp;"|"&amp;tblAsignaciones[[#This Row],[tecnico]]</f>
        <v/>
      </c>
      <c r="N401" s="3">
        <f>_xlfn.XLOOKUP(tblAsignaciones[[#This Row],[turno]],tblTurnos[turno],tblTurnos[hora_inicio],"")</f>
        <v/>
      </c>
      <c r="O401" s="3">
        <f>_xlfn.XLOOKUP(tblAsignaciones[[#This Row],[turno]],tblTurnos[turno],tblTurnos[hora_fin],"")</f>
        <v/>
      </c>
    </row>
    <row r="402">
      <c r="A402" s="3" t="inlineStr">
        <is>
          <t>2026-S32</t>
        </is>
      </c>
      <c r="B402" s="3" t="inlineStr">
        <is>
          <t>domingo</t>
        </is>
      </c>
      <c r="C402" s="3" t="inlineStr">
        <is>
          <t>Técnico 09</t>
        </is>
      </c>
      <c r="D402" s="3">
        <f>_xlfn.XLOOKUP(tblAsignaciones[[#This Row],[tecnico]],tblTecnicos[nombre],tblTecnicos[area],"")</f>
        <v/>
      </c>
      <c r="E402" s="3">
        <f>_xlfn.XLOOKUP(tblAsignaciones[[#This Row],[tecnico]],tblTecnicos[nombre],tblTecnicos[especialidad],"")</f>
        <v/>
      </c>
      <c r="F402" s="3">
        <f>COUNTIFS(tblTecnicos[rotativo],"SI",tblTecnicos[especialidad],tblAsignaciones[[#This Row],[especialidad]],tblTecnicos[area],tblAsignaciones[[#This Row],[area]])</f>
        <v/>
      </c>
      <c r="G4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6" t="n"/>
      <c r="I402" s="3">
        <f>IF(tblAsignaciones[[#This Row],[turno_manual]]&lt;&gt;"",tblAsignaciones[[#This Row],[turno_manual]],IF(LEFT(tblAsignaciones[[#This Row],[posicion_ciclo]],1)="B","B",tblAsignaciones[[#This Row],[posicion_ciclo]]))</f>
        <v/>
      </c>
      <c r="J402" s="3">
        <f>_xlfn.XLOOKUP(tblAsignaciones[[#This Row],[tecnico]],tblTecnicos[nombre],tblTecnicos[coordinador],"")</f>
        <v/>
      </c>
      <c r="K4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2" s="3">
        <f>tblAsignaciones[[#This Row],[semana]]&amp;"|"&amp;tblAsignaciones[[#This Row],[dia]]&amp;"|"&amp;tblAsignaciones[[#This Row],[tecnico]]</f>
        <v/>
      </c>
      <c r="N402" s="3">
        <f>_xlfn.XLOOKUP(tblAsignaciones[[#This Row],[turno]],tblTurnos[turno],tblTurnos[hora_inicio],"")</f>
        <v/>
      </c>
      <c r="O402" s="3">
        <f>_xlfn.XLOOKUP(tblAsignaciones[[#This Row],[turno]],tblTurnos[turno],tblTurnos[hora_fin],"")</f>
        <v/>
      </c>
    </row>
    <row r="403">
      <c r="A403" s="3" t="inlineStr">
        <is>
          <t>2026-S32</t>
        </is>
      </c>
      <c r="B403" s="3" t="inlineStr">
        <is>
          <t>lunes</t>
        </is>
      </c>
      <c r="C403" s="3" t="inlineStr">
        <is>
          <t>Técnico 10</t>
        </is>
      </c>
      <c r="D403" s="3">
        <f>_xlfn.XLOOKUP(tblAsignaciones[[#This Row],[tecnico]],tblTecnicos[nombre],tblTecnicos[area],"")</f>
        <v/>
      </c>
      <c r="E403" s="3">
        <f>_xlfn.XLOOKUP(tblAsignaciones[[#This Row],[tecnico]],tblTecnicos[nombre],tblTecnicos[especialidad],"")</f>
        <v/>
      </c>
      <c r="F403" s="3">
        <f>COUNTIFS(tblTecnicos[rotativo],"SI",tblTecnicos[especialidad],tblAsignaciones[[#This Row],[especialidad]],tblTecnicos[area],tblAsignaciones[[#This Row],[area]])</f>
        <v/>
      </c>
      <c r="G4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6" t="n"/>
      <c r="I403" s="3">
        <f>IF(tblAsignaciones[[#This Row],[turno_manual]]&lt;&gt;"",tblAsignaciones[[#This Row],[turno_manual]],IF(LEFT(tblAsignaciones[[#This Row],[posicion_ciclo]],1)="B","B",tblAsignaciones[[#This Row],[posicion_ciclo]]))</f>
        <v/>
      </c>
      <c r="J403" s="3">
        <f>_xlfn.XLOOKUP(tblAsignaciones[[#This Row],[tecnico]],tblTecnicos[nombre],tblTecnicos[coordinador],"")</f>
        <v/>
      </c>
      <c r="K4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3" s="3">
        <f>tblAsignaciones[[#This Row],[semana]]&amp;"|"&amp;tblAsignaciones[[#This Row],[dia]]&amp;"|"&amp;tblAsignaciones[[#This Row],[tecnico]]</f>
        <v/>
      </c>
      <c r="N403" s="3">
        <f>_xlfn.XLOOKUP(tblAsignaciones[[#This Row],[turno]],tblTurnos[turno],tblTurnos[hora_inicio],"")</f>
        <v/>
      </c>
      <c r="O403" s="3">
        <f>_xlfn.XLOOKUP(tblAsignaciones[[#This Row],[turno]],tblTurnos[turno],tblTurnos[hora_fin],"")</f>
        <v/>
      </c>
    </row>
    <row r="404">
      <c r="A404" s="3" t="inlineStr">
        <is>
          <t>2026-S32</t>
        </is>
      </c>
      <c r="B404" s="3" t="inlineStr">
        <is>
          <t>martes</t>
        </is>
      </c>
      <c r="C404" s="3" t="inlineStr">
        <is>
          <t>Técnico 10</t>
        </is>
      </c>
      <c r="D404" s="3">
        <f>_xlfn.XLOOKUP(tblAsignaciones[[#This Row],[tecnico]],tblTecnicos[nombre],tblTecnicos[area],"")</f>
        <v/>
      </c>
      <c r="E404" s="3">
        <f>_xlfn.XLOOKUP(tblAsignaciones[[#This Row],[tecnico]],tblTecnicos[nombre],tblTecnicos[especialidad],"")</f>
        <v/>
      </c>
      <c r="F404" s="3">
        <f>COUNTIFS(tblTecnicos[rotativo],"SI",tblTecnicos[especialidad],tblAsignaciones[[#This Row],[especialidad]],tblTecnicos[area],tblAsignaciones[[#This Row],[area]])</f>
        <v/>
      </c>
      <c r="G4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6" t="n"/>
      <c r="I404" s="3">
        <f>IF(tblAsignaciones[[#This Row],[turno_manual]]&lt;&gt;"",tblAsignaciones[[#This Row],[turno_manual]],IF(LEFT(tblAsignaciones[[#This Row],[posicion_ciclo]],1)="B","B",tblAsignaciones[[#This Row],[posicion_ciclo]]))</f>
        <v/>
      </c>
      <c r="J404" s="3">
        <f>_xlfn.XLOOKUP(tblAsignaciones[[#This Row],[tecnico]],tblTecnicos[nombre],tblTecnicos[coordinador],"")</f>
        <v/>
      </c>
      <c r="K4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4" s="3">
        <f>tblAsignaciones[[#This Row],[semana]]&amp;"|"&amp;tblAsignaciones[[#This Row],[dia]]&amp;"|"&amp;tblAsignaciones[[#This Row],[tecnico]]</f>
        <v/>
      </c>
      <c r="N404" s="3">
        <f>_xlfn.XLOOKUP(tblAsignaciones[[#This Row],[turno]],tblTurnos[turno],tblTurnos[hora_inicio],"")</f>
        <v/>
      </c>
      <c r="O404" s="3">
        <f>_xlfn.XLOOKUP(tblAsignaciones[[#This Row],[turno]],tblTurnos[turno],tblTurnos[hora_fin],"")</f>
        <v/>
      </c>
    </row>
    <row r="405">
      <c r="A405" s="3" t="inlineStr">
        <is>
          <t>2026-S32</t>
        </is>
      </c>
      <c r="B405" s="3" t="inlineStr">
        <is>
          <t>miércoles</t>
        </is>
      </c>
      <c r="C405" s="3" t="inlineStr">
        <is>
          <t>Técnico 10</t>
        </is>
      </c>
      <c r="D405" s="3">
        <f>_xlfn.XLOOKUP(tblAsignaciones[[#This Row],[tecnico]],tblTecnicos[nombre],tblTecnicos[area],"")</f>
        <v/>
      </c>
      <c r="E405" s="3">
        <f>_xlfn.XLOOKUP(tblAsignaciones[[#This Row],[tecnico]],tblTecnicos[nombre],tblTecnicos[especialidad],"")</f>
        <v/>
      </c>
      <c r="F405" s="3">
        <f>COUNTIFS(tblTecnicos[rotativo],"SI",tblTecnicos[especialidad],tblAsignaciones[[#This Row],[especialidad]],tblTecnicos[area],tblAsignaciones[[#This Row],[area]])</f>
        <v/>
      </c>
      <c r="G4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6" t="n"/>
      <c r="I405" s="3">
        <f>IF(tblAsignaciones[[#This Row],[turno_manual]]&lt;&gt;"",tblAsignaciones[[#This Row],[turno_manual]],IF(LEFT(tblAsignaciones[[#This Row],[posicion_ciclo]],1)="B","B",tblAsignaciones[[#This Row],[posicion_ciclo]]))</f>
        <v/>
      </c>
      <c r="J405" s="3">
        <f>_xlfn.XLOOKUP(tblAsignaciones[[#This Row],[tecnico]],tblTecnicos[nombre],tblTecnicos[coordinador],"")</f>
        <v/>
      </c>
      <c r="K4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5" s="3">
        <f>tblAsignaciones[[#This Row],[semana]]&amp;"|"&amp;tblAsignaciones[[#This Row],[dia]]&amp;"|"&amp;tblAsignaciones[[#This Row],[tecnico]]</f>
        <v/>
      </c>
      <c r="N405" s="3">
        <f>_xlfn.XLOOKUP(tblAsignaciones[[#This Row],[turno]],tblTurnos[turno],tblTurnos[hora_inicio],"")</f>
        <v/>
      </c>
      <c r="O405" s="3">
        <f>_xlfn.XLOOKUP(tblAsignaciones[[#This Row],[turno]],tblTurnos[turno],tblTurnos[hora_fin],"")</f>
        <v/>
      </c>
    </row>
    <row r="406">
      <c r="A406" s="3" t="inlineStr">
        <is>
          <t>2026-S32</t>
        </is>
      </c>
      <c r="B406" s="3" t="inlineStr">
        <is>
          <t>jueves</t>
        </is>
      </c>
      <c r="C406" s="3" t="inlineStr">
        <is>
          <t>Técnico 10</t>
        </is>
      </c>
      <c r="D406" s="3">
        <f>_xlfn.XLOOKUP(tblAsignaciones[[#This Row],[tecnico]],tblTecnicos[nombre],tblTecnicos[area],"")</f>
        <v/>
      </c>
      <c r="E406" s="3">
        <f>_xlfn.XLOOKUP(tblAsignaciones[[#This Row],[tecnico]],tblTecnicos[nombre],tblTecnicos[especialidad],"")</f>
        <v/>
      </c>
      <c r="F406" s="3">
        <f>COUNTIFS(tblTecnicos[rotativo],"SI",tblTecnicos[especialidad],tblAsignaciones[[#This Row],[especialidad]],tblTecnicos[area],tblAsignaciones[[#This Row],[area]])</f>
        <v/>
      </c>
      <c r="G4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6" t="n"/>
      <c r="I406" s="3">
        <f>IF(tblAsignaciones[[#This Row],[turno_manual]]&lt;&gt;"",tblAsignaciones[[#This Row],[turno_manual]],IF(LEFT(tblAsignaciones[[#This Row],[posicion_ciclo]],1)="B","B",tblAsignaciones[[#This Row],[posicion_ciclo]]))</f>
        <v/>
      </c>
      <c r="J406" s="3">
        <f>_xlfn.XLOOKUP(tblAsignaciones[[#This Row],[tecnico]],tblTecnicos[nombre],tblTecnicos[coordinador],"")</f>
        <v/>
      </c>
      <c r="K4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6" s="3">
        <f>tblAsignaciones[[#This Row],[semana]]&amp;"|"&amp;tblAsignaciones[[#This Row],[dia]]&amp;"|"&amp;tblAsignaciones[[#This Row],[tecnico]]</f>
        <v/>
      </c>
      <c r="N406" s="3">
        <f>_xlfn.XLOOKUP(tblAsignaciones[[#This Row],[turno]],tblTurnos[turno],tblTurnos[hora_inicio],"")</f>
        <v/>
      </c>
      <c r="O406" s="3">
        <f>_xlfn.XLOOKUP(tblAsignaciones[[#This Row],[turno]],tblTurnos[turno],tblTurnos[hora_fin],"")</f>
        <v/>
      </c>
    </row>
    <row r="407">
      <c r="A407" s="3" t="inlineStr">
        <is>
          <t>2026-S32</t>
        </is>
      </c>
      <c r="B407" s="3" t="inlineStr">
        <is>
          <t>viernes</t>
        </is>
      </c>
      <c r="C407" s="3" t="inlineStr">
        <is>
          <t>Técnico 10</t>
        </is>
      </c>
      <c r="D407" s="3">
        <f>_xlfn.XLOOKUP(tblAsignaciones[[#This Row],[tecnico]],tblTecnicos[nombre],tblTecnicos[area],"")</f>
        <v/>
      </c>
      <c r="E407" s="3">
        <f>_xlfn.XLOOKUP(tblAsignaciones[[#This Row],[tecnico]],tblTecnicos[nombre],tblTecnicos[especialidad],"")</f>
        <v/>
      </c>
      <c r="F407" s="3">
        <f>COUNTIFS(tblTecnicos[rotativo],"SI",tblTecnicos[especialidad],tblAsignaciones[[#This Row],[especialidad]],tblTecnicos[area],tblAsignaciones[[#This Row],[area]])</f>
        <v/>
      </c>
      <c r="G4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6" t="n"/>
      <c r="I407" s="3">
        <f>IF(tblAsignaciones[[#This Row],[turno_manual]]&lt;&gt;"",tblAsignaciones[[#This Row],[turno_manual]],IF(LEFT(tblAsignaciones[[#This Row],[posicion_ciclo]],1)="B","B",tblAsignaciones[[#This Row],[posicion_ciclo]]))</f>
        <v/>
      </c>
      <c r="J407" s="3">
        <f>_xlfn.XLOOKUP(tblAsignaciones[[#This Row],[tecnico]],tblTecnicos[nombre],tblTecnicos[coordinador],"")</f>
        <v/>
      </c>
      <c r="K4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7" s="3">
        <f>tblAsignaciones[[#This Row],[semana]]&amp;"|"&amp;tblAsignaciones[[#This Row],[dia]]&amp;"|"&amp;tblAsignaciones[[#This Row],[tecnico]]</f>
        <v/>
      </c>
      <c r="N407" s="3">
        <f>_xlfn.XLOOKUP(tblAsignaciones[[#This Row],[turno]],tblTurnos[turno],tblTurnos[hora_inicio],"")</f>
        <v/>
      </c>
      <c r="O407" s="3">
        <f>_xlfn.XLOOKUP(tblAsignaciones[[#This Row],[turno]],tblTurnos[turno],tblTurnos[hora_fin],"")</f>
        <v/>
      </c>
    </row>
    <row r="408">
      <c r="A408" s="3" t="inlineStr">
        <is>
          <t>2026-S32</t>
        </is>
      </c>
      <c r="B408" s="3" t="inlineStr">
        <is>
          <t>sábado</t>
        </is>
      </c>
      <c r="C408" s="3" t="inlineStr">
        <is>
          <t>Técnico 10</t>
        </is>
      </c>
      <c r="D408" s="3">
        <f>_xlfn.XLOOKUP(tblAsignaciones[[#This Row],[tecnico]],tblTecnicos[nombre],tblTecnicos[area],"")</f>
        <v/>
      </c>
      <c r="E408" s="3">
        <f>_xlfn.XLOOKUP(tblAsignaciones[[#This Row],[tecnico]],tblTecnicos[nombre],tblTecnicos[especialidad],"")</f>
        <v/>
      </c>
      <c r="F408" s="3">
        <f>COUNTIFS(tblTecnicos[rotativo],"SI",tblTecnicos[especialidad],tblAsignaciones[[#This Row],[especialidad]],tblTecnicos[area],tblAsignaciones[[#This Row],[area]])</f>
        <v/>
      </c>
      <c r="G4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6" t="n"/>
      <c r="I408" s="3">
        <f>IF(tblAsignaciones[[#This Row],[turno_manual]]&lt;&gt;"",tblAsignaciones[[#This Row],[turno_manual]],IF(LEFT(tblAsignaciones[[#This Row],[posicion_ciclo]],1)="B","B",tblAsignaciones[[#This Row],[posicion_ciclo]]))</f>
        <v/>
      </c>
      <c r="J408" s="3">
        <f>_xlfn.XLOOKUP(tblAsignaciones[[#This Row],[tecnico]],tblTecnicos[nombre],tblTecnicos[coordinador],"")</f>
        <v/>
      </c>
      <c r="K4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8" s="3">
        <f>tblAsignaciones[[#This Row],[semana]]&amp;"|"&amp;tblAsignaciones[[#This Row],[dia]]&amp;"|"&amp;tblAsignaciones[[#This Row],[tecnico]]</f>
        <v/>
      </c>
      <c r="N408" s="3">
        <f>_xlfn.XLOOKUP(tblAsignaciones[[#This Row],[turno]],tblTurnos[turno],tblTurnos[hora_inicio],"")</f>
        <v/>
      </c>
      <c r="O408" s="3">
        <f>_xlfn.XLOOKUP(tblAsignaciones[[#This Row],[turno]],tblTurnos[turno],tblTurnos[hora_fin],"")</f>
        <v/>
      </c>
    </row>
    <row r="409">
      <c r="A409" s="3" t="inlineStr">
        <is>
          <t>2026-S32</t>
        </is>
      </c>
      <c r="B409" s="3" t="inlineStr">
        <is>
          <t>domingo</t>
        </is>
      </c>
      <c r="C409" s="3" t="inlineStr">
        <is>
          <t>Técnico 10</t>
        </is>
      </c>
      <c r="D409" s="3">
        <f>_xlfn.XLOOKUP(tblAsignaciones[[#This Row],[tecnico]],tblTecnicos[nombre],tblTecnicos[area],"")</f>
        <v/>
      </c>
      <c r="E409" s="3">
        <f>_xlfn.XLOOKUP(tblAsignaciones[[#This Row],[tecnico]],tblTecnicos[nombre],tblTecnicos[especialidad],"")</f>
        <v/>
      </c>
      <c r="F409" s="3">
        <f>COUNTIFS(tblTecnicos[rotativo],"SI",tblTecnicos[especialidad],tblAsignaciones[[#This Row],[especialidad]],tblTecnicos[area],tblAsignaciones[[#This Row],[area]])</f>
        <v/>
      </c>
      <c r="G4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6" t="n"/>
      <c r="I409" s="3">
        <f>IF(tblAsignaciones[[#This Row],[turno_manual]]&lt;&gt;"",tblAsignaciones[[#This Row],[turno_manual]],IF(LEFT(tblAsignaciones[[#This Row],[posicion_ciclo]],1)="B","B",tblAsignaciones[[#This Row],[posicion_ciclo]]))</f>
        <v/>
      </c>
      <c r="J409" s="3">
        <f>_xlfn.XLOOKUP(tblAsignaciones[[#This Row],[tecnico]],tblTecnicos[nombre],tblTecnicos[coordinador],"")</f>
        <v/>
      </c>
      <c r="K4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09" s="3">
        <f>tblAsignaciones[[#This Row],[semana]]&amp;"|"&amp;tblAsignaciones[[#This Row],[dia]]&amp;"|"&amp;tblAsignaciones[[#This Row],[tecnico]]</f>
        <v/>
      </c>
      <c r="N409" s="3">
        <f>_xlfn.XLOOKUP(tblAsignaciones[[#This Row],[turno]],tblTurnos[turno],tblTurnos[hora_inicio],"")</f>
        <v/>
      </c>
      <c r="O409" s="3">
        <f>_xlfn.XLOOKUP(tblAsignaciones[[#This Row],[turno]],tblTurnos[turno],tblTurnos[hora_fin],"")</f>
        <v/>
      </c>
    </row>
    <row r="410">
      <c r="A410" s="3" t="inlineStr">
        <is>
          <t>2026-S32</t>
        </is>
      </c>
      <c r="B410" s="3" t="inlineStr">
        <is>
          <t>lunes</t>
        </is>
      </c>
      <c r="C410" s="3" t="inlineStr">
        <is>
          <t>Técnico 11</t>
        </is>
      </c>
      <c r="D410" s="3">
        <f>_xlfn.XLOOKUP(tblAsignaciones[[#This Row],[tecnico]],tblTecnicos[nombre],tblTecnicos[area],"")</f>
        <v/>
      </c>
      <c r="E410" s="3">
        <f>_xlfn.XLOOKUP(tblAsignaciones[[#This Row],[tecnico]],tblTecnicos[nombre],tblTecnicos[especialidad],"")</f>
        <v/>
      </c>
      <c r="F410" s="3">
        <f>COUNTIFS(tblTecnicos[rotativo],"SI",tblTecnicos[especialidad],tblAsignaciones[[#This Row],[especialidad]],tblTecnicos[area],tblAsignaciones[[#This Row],[area]])</f>
        <v/>
      </c>
      <c r="G4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6" t="n"/>
      <c r="I410" s="3">
        <f>IF(tblAsignaciones[[#This Row],[turno_manual]]&lt;&gt;"",tblAsignaciones[[#This Row],[turno_manual]],IF(LEFT(tblAsignaciones[[#This Row],[posicion_ciclo]],1)="B","B",tblAsignaciones[[#This Row],[posicion_ciclo]]))</f>
        <v/>
      </c>
      <c r="J410" s="3">
        <f>_xlfn.XLOOKUP(tblAsignaciones[[#This Row],[tecnico]],tblTecnicos[nombre],tblTecnicos[coordinador],"")</f>
        <v/>
      </c>
      <c r="K4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0" s="3">
        <f>tblAsignaciones[[#This Row],[semana]]&amp;"|"&amp;tblAsignaciones[[#This Row],[dia]]&amp;"|"&amp;tblAsignaciones[[#This Row],[tecnico]]</f>
        <v/>
      </c>
      <c r="N410" s="3">
        <f>_xlfn.XLOOKUP(tblAsignaciones[[#This Row],[turno]],tblTurnos[turno],tblTurnos[hora_inicio],"")</f>
        <v/>
      </c>
      <c r="O410" s="3">
        <f>_xlfn.XLOOKUP(tblAsignaciones[[#This Row],[turno]],tblTurnos[turno],tblTurnos[hora_fin],"")</f>
        <v/>
      </c>
    </row>
    <row r="411">
      <c r="A411" s="3" t="inlineStr">
        <is>
          <t>2026-S32</t>
        </is>
      </c>
      <c r="B411" s="3" t="inlineStr">
        <is>
          <t>martes</t>
        </is>
      </c>
      <c r="C411" s="3" t="inlineStr">
        <is>
          <t>Técnico 11</t>
        </is>
      </c>
      <c r="D411" s="3">
        <f>_xlfn.XLOOKUP(tblAsignaciones[[#This Row],[tecnico]],tblTecnicos[nombre],tblTecnicos[area],"")</f>
        <v/>
      </c>
      <c r="E411" s="3">
        <f>_xlfn.XLOOKUP(tblAsignaciones[[#This Row],[tecnico]],tblTecnicos[nombre],tblTecnicos[especialidad],"")</f>
        <v/>
      </c>
      <c r="F411" s="3">
        <f>COUNTIFS(tblTecnicos[rotativo],"SI",tblTecnicos[especialidad],tblAsignaciones[[#This Row],[especialidad]],tblTecnicos[area],tblAsignaciones[[#This Row],[area]])</f>
        <v/>
      </c>
      <c r="G4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6" t="n"/>
      <c r="I411" s="3">
        <f>IF(tblAsignaciones[[#This Row],[turno_manual]]&lt;&gt;"",tblAsignaciones[[#This Row],[turno_manual]],IF(LEFT(tblAsignaciones[[#This Row],[posicion_ciclo]],1)="B","B",tblAsignaciones[[#This Row],[posicion_ciclo]]))</f>
        <v/>
      </c>
      <c r="J411" s="3">
        <f>_xlfn.XLOOKUP(tblAsignaciones[[#This Row],[tecnico]],tblTecnicos[nombre],tblTecnicos[coordinador],"")</f>
        <v/>
      </c>
      <c r="K4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1" s="3">
        <f>tblAsignaciones[[#This Row],[semana]]&amp;"|"&amp;tblAsignaciones[[#This Row],[dia]]&amp;"|"&amp;tblAsignaciones[[#This Row],[tecnico]]</f>
        <v/>
      </c>
      <c r="N411" s="3">
        <f>_xlfn.XLOOKUP(tblAsignaciones[[#This Row],[turno]],tblTurnos[turno],tblTurnos[hora_inicio],"")</f>
        <v/>
      </c>
      <c r="O411" s="3">
        <f>_xlfn.XLOOKUP(tblAsignaciones[[#This Row],[turno]],tblTurnos[turno],tblTurnos[hora_fin],"")</f>
        <v/>
      </c>
    </row>
    <row r="412">
      <c r="A412" s="3" t="inlineStr">
        <is>
          <t>2026-S32</t>
        </is>
      </c>
      <c r="B412" s="3" t="inlineStr">
        <is>
          <t>miércoles</t>
        </is>
      </c>
      <c r="C412" s="3" t="inlineStr">
        <is>
          <t>Técnico 11</t>
        </is>
      </c>
      <c r="D412" s="3">
        <f>_xlfn.XLOOKUP(tblAsignaciones[[#This Row],[tecnico]],tblTecnicos[nombre],tblTecnicos[area],"")</f>
        <v/>
      </c>
      <c r="E412" s="3">
        <f>_xlfn.XLOOKUP(tblAsignaciones[[#This Row],[tecnico]],tblTecnicos[nombre],tblTecnicos[especialidad],"")</f>
        <v/>
      </c>
      <c r="F412" s="3">
        <f>COUNTIFS(tblTecnicos[rotativo],"SI",tblTecnicos[especialidad],tblAsignaciones[[#This Row],[especialidad]],tblTecnicos[area],tblAsignaciones[[#This Row],[area]])</f>
        <v/>
      </c>
      <c r="G4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6" t="n"/>
      <c r="I412" s="3">
        <f>IF(tblAsignaciones[[#This Row],[turno_manual]]&lt;&gt;"",tblAsignaciones[[#This Row],[turno_manual]],IF(LEFT(tblAsignaciones[[#This Row],[posicion_ciclo]],1)="B","B",tblAsignaciones[[#This Row],[posicion_ciclo]]))</f>
        <v/>
      </c>
      <c r="J412" s="3">
        <f>_xlfn.XLOOKUP(tblAsignaciones[[#This Row],[tecnico]],tblTecnicos[nombre],tblTecnicos[coordinador],"")</f>
        <v/>
      </c>
      <c r="K4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2" s="3">
        <f>tblAsignaciones[[#This Row],[semana]]&amp;"|"&amp;tblAsignaciones[[#This Row],[dia]]&amp;"|"&amp;tblAsignaciones[[#This Row],[tecnico]]</f>
        <v/>
      </c>
      <c r="N412" s="3">
        <f>_xlfn.XLOOKUP(tblAsignaciones[[#This Row],[turno]],tblTurnos[turno],tblTurnos[hora_inicio],"")</f>
        <v/>
      </c>
      <c r="O412" s="3">
        <f>_xlfn.XLOOKUP(tblAsignaciones[[#This Row],[turno]],tblTurnos[turno],tblTurnos[hora_fin],"")</f>
        <v/>
      </c>
    </row>
    <row r="413">
      <c r="A413" s="3" t="inlineStr">
        <is>
          <t>2026-S32</t>
        </is>
      </c>
      <c r="B413" s="3" t="inlineStr">
        <is>
          <t>jueves</t>
        </is>
      </c>
      <c r="C413" s="3" t="inlineStr">
        <is>
          <t>Técnico 11</t>
        </is>
      </c>
      <c r="D413" s="3">
        <f>_xlfn.XLOOKUP(tblAsignaciones[[#This Row],[tecnico]],tblTecnicos[nombre],tblTecnicos[area],"")</f>
        <v/>
      </c>
      <c r="E413" s="3">
        <f>_xlfn.XLOOKUP(tblAsignaciones[[#This Row],[tecnico]],tblTecnicos[nombre],tblTecnicos[especialidad],"")</f>
        <v/>
      </c>
      <c r="F413" s="3">
        <f>COUNTIFS(tblTecnicos[rotativo],"SI",tblTecnicos[especialidad],tblAsignaciones[[#This Row],[especialidad]],tblTecnicos[area],tblAsignaciones[[#This Row],[area]])</f>
        <v/>
      </c>
      <c r="G4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6" t="n"/>
      <c r="I413" s="3">
        <f>IF(tblAsignaciones[[#This Row],[turno_manual]]&lt;&gt;"",tblAsignaciones[[#This Row],[turno_manual]],IF(LEFT(tblAsignaciones[[#This Row],[posicion_ciclo]],1)="B","B",tblAsignaciones[[#This Row],[posicion_ciclo]]))</f>
        <v/>
      </c>
      <c r="J413" s="3">
        <f>_xlfn.XLOOKUP(tblAsignaciones[[#This Row],[tecnico]],tblTecnicos[nombre],tblTecnicos[coordinador],"")</f>
        <v/>
      </c>
      <c r="K4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3" s="3">
        <f>tblAsignaciones[[#This Row],[semana]]&amp;"|"&amp;tblAsignaciones[[#This Row],[dia]]&amp;"|"&amp;tblAsignaciones[[#This Row],[tecnico]]</f>
        <v/>
      </c>
      <c r="N413" s="3">
        <f>_xlfn.XLOOKUP(tblAsignaciones[[#This Row],[turno]],tblTurnos[turno],tblTurnos[hora_inicio],"")</f>
        <v/>
      </c>
      <c r="O413" s="3">
        <f>_xlfn.XLOOKUP(tblAsignaciones[[#This Row],[turno]],tblTurnos[turno],tblTurnos[hora_fin],"")</f>
        <v/>
      </c>
    </row>
    <row r="414">
      <c r="A414" s="3" t="inlineStr">
        <is>
          <t>2026-S32</t>
        </is>
      </c>
      <c r="B414" s="3" t="inlineStr">
        <is>
          <t>viernes</t>
        </is>
      </c>
      <c r="C414" s="3" t="inlineStr">
        <is>
          <t>Técnico 11</t>
        </is>
      </c>
      <c r="D414" s="3">
        <f>_xlfn.XLOOKUP(tblAsignaciones[[#This Row],[tecnico]],tblTecnicos[nombre],tblTecnicos[area],"")</f>
        <v/>
      </c>
      <c r="E414" s="3">
        <f>_xlfn.XLOOKUP(tblAsignaciones[[#This Row],[tecnico]],tblTecnicos[nombre],tblTecnicos[especialidad],"")</f>
        <v/>
      </c>
      <c r="F414" s="3">
        <f>COUNTIFS(tblTecnicos[rotativo],"SI",tblTecnicos[especialidad],tblAsignaciones[[#This Row],[especialidad]],tblTecnicos[area],tblAsignaciones[[#This Row],[area]])</f>
        <v/>
      </c>
      <c r="G4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6" t="n"/>
      <c r="I414" s="3">
        <f>IF(tblAsignaciones[[#This Row],[turno_manual]]&lt;&gt;"",tblAsignaciones[[#This Row],[turno_manual]],IF(LEFT(tblAsignaciones[[#This Row],[posicion_ciclo]],1)="B","B",tblAsignaciones[[#This Row],[posicion_ciclo]]))</f>
        <v/>
      </c>
      <c r="J414" s="3">
        <f>_xlfn.XLOOKUP(tblAsignaciones[[#This Row],[tecnico]],tblTecnicos[nombre],tblTecnicos[coordinador],"")</f>
        <v/>
      </c>
      <c r="K4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4" s="3">
        <f>tblAsignaciones[[#This Row],[semana]]&amp;"|"&amp;tblAsignaciones[[#This Row],[dia]]&amp;"|"&amp;tblAsignaciones[[#This Row],[tecnico]]</f>
        <v/>
      </c>
      <c r="N414" s="3">
        <f>_xlfn.XLOOKUP(tblAsignaciones[[#This Row],[turno]],tblTurnos[turno],tblTurnos[hora_inicio],"")</f>
        <v/>
      </c>
      <c r="O414" s="3">
        <f>_xlfn.XLOOKUP(tblAsignaciones[[#This Row],[turno]],tblTurnos[turno],tblTurnos[hora_fin],"")</f>
        <v/>
      </c>
    </row>
    <row r="415">
      <c r="A415" s="3" t="inlineStr">
        <is>
          <t>2026-S32</t>
        </is>
      </c>
      <c r="B415" s="3" t="inlineStr">
        <is>
          <t>sábado</t>
        </is>
      </c>
      <c r="C415" s="3" t="inlineStr">
        <is>
          <t>Técnico 11</t>
        </is>
      </c>
      <c r="D415" s="3">
        <f>_xlfn.XLOOKUP(tblAsignaciones[[#This Row],[tecnico]],tblTecnicos[nombre],tblTecnicos[area],"")</f>
        <v/>
      </c>
      <c r="E415" s="3">
        <f>_xlfn.XLOOKUP(tblAsignaciones[[#This Row],[tecnico]],tblTecnicos[nombre],tblTecnicos[especialidad],"")</f>
        <v/>
      </c>
      <c r="F415" s="3">
        <f>COUNTIFS(tblTecnicos[rotativo],"SI",tblTecnicos[especialidad],tblAsignaciones[[#This Row],[especialidad]],tblTecnicos[area],tblAsignaciones[[#This Row],[area]])</f>
        <v/>
      </c>
      <c r="G4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6" t="n"/>
      <c r="I415" s="3">
        <f>IF(tblAsignaciones[[#This Row],[turno_manual]]&lt;&gt;"",tblAsignaciones[[#This Row],[turno_manual]],IF(LEFT(tblAsignaciones[[#This Row],[posicion_ciclo]],1)="B","B",tblAsignaciones[[#This Row],[posicion_ciclo]]))</f>
        <v/>
      </c>
      <c r="J415" s="3">
        <f>_xlfn.XLOOKUP(tblAsignaciones[[#This Row],[tecnico]],tblTecnicos[nombre],tblTecnicos[coordinador],"")</f>
        <v/>
      </c>
      <c r="K4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5" s="3">
        <f>tblAsignaciones[[#This Row],[semana]]&amp;"|"&amp;tblAsignaciones[[#This Row],[dia]]&amp;"|"&amp;tblAsignaciones[[#This Row],[tecnico]]</f>
        <v/>
      </c>
      <c r="N415" s="3">
        <f>_xlfn.XLOOKUP(tblAsignaciones[[#This Row],[turno]],tblTurnos[turno],tblTurnos[hora_inicio],"")</f>
        <v/>
      </c>
      <c r="O415" s="3">
        <f>_xlfn.XLOOKUP(tblAsignaciones[[#This Row],[turno]],tblTurnos[turno],tblTurnos[hora_fin],"")</f>
        <v/>
      </c>
    </row>
    <row r="416">
      <c r="A416" s="3" t="inlineStr">
        <is>
          <t>2026-S32</t>
        </is>
      </c>
      <c r="B416" s="3" t="inlineStr">
        <is>
          <t>domingo</t>
        </is>
      </c>
      <c r="C416" s="3" t="inlineStr">
        <is>
          <t>Técnico 11</t>
        </is>
      </c>
      <c r="D416" s="3">
        <f>_xlfn.XLOOKUP(tblAsignaciones[[#This Row],[tecnico]],tblTecnicos[nombre],tblTecnicos[area],"")</f>
        <v/>
      </c>
      <c r="E416" s="3">
        <f>_xlfn.XLOOKUP(tblAsignaciones[[#This Row],[tecnico]],tblTecnicos[nombre],tblTecnicos[especialidad],"")</f>
        <v/>
      </c>
      <c r="F416" s="3">
        <f>COUNTIFS(tblTecnicos[rotativo],"SI",tblTecnicos[especialidad],tblAsignaciones[[#This Row],[especialidad]],tblTecnicos[area],tblAsignaciones[[#This Row],[area]])</f>
        <v/>
      </c>
      <c r="G4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6" t="n"/>
      <c r="I416" s="3">
        <f>IF(tblAsignaciones[[#This Row],[turno_manual]]&lt;&gt;"",tblAsignaciones[[#This Row],[turno_manual]],IF(LEFT(tblAsignaciones[[#This Row],[posicion_ciclo]],1)="B","B",tblAsignaciones[[#This Row],[posicion_ciclo]]))</f>
        <v/>
      </c>
      <c r="J416" s="3">
        <f>_xlfn.XLOOKUP(tblAsignaciones[[#This Row],[tecnico]],tblTecnicos[nombre],tblTecnicos[coordinador],"")</f>
        <v/>
      </c>
      <c r="K4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6" s="3">
        <f>tblAsignaciones[[#This Row],[semana]]&amp;"|"&amp;tblAsignaciones[[#This Row],[dia]]&amp;"|"&amp;tblAsignaciones[[#This Row],[tecnico]]</f>
        <v/>
      </c>
      <c r="N416" s="3">
        <f>_xlfn.XLOOKUP(tblAsignaciones[[#This Row],[turno]],tblTurnos[turno],tblTurnos[hora_inicio],"")</f>
        <v/>
      </c>
      <c r="O416" s="3">
        <f>_xlfn.XLOOKUP(tblAsignaciones[[#This Row],[turno]],tblTurnos[turno],tblTurnos[hora_fin],"")</f>
        <v/>
      </c>
    </row>
    <row r="417">
      <c r="A417" s="3" t="inlineStr">
        <is>
          <t>2026-S32</t>
        </is>
      </c>
      <c r="B417" s="3" t="inlineStr">
        <is>
          <t>lunes</t>
        </is>
      </c>
      <c r="C417" s="3" t="inlineStr">
        <is>
          <t>Técnico 12</t>
        </is>
      </c>
      <c r="D417" s="3">
        <f>_xlfn.XLOOKUP(tblAsignaciones[[#This Row],[tecnico]],tblTecnicos[nombre],tblTecnicos[area],"")</f>
        <v/>
      </c>
      <c r="E417" s="3">
        <f>_xlfn.XLOOKUP(tblAsignaciones[[#This Row],[tecnico]],tblTecnicos[nombre],tblTecnicos[especialidad],"")</f>
        <v/>
      </c>
      <c r="F417" s="3">
        <f>COUNTIFS(tblTecnicos[rotativo],"SI",tblTecnicos[especialidad],tblAsignaciones[[#This Row],[especialidad]],tblTecnicos[area],tblAsignaciones[[#This Row],[area]])</f>
        <v/>
      </c>
      <c r="G4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6" t="n"/>
      <c r="I417" s="3">
        <f>IF(tblAsignaciones[[#This Row],[turno_manual]]&lt;&gt;"",tblAsignaciones[[#This Row],[turno_manual]],IF(LEFT(tblAsignaciones[[#This Row],[posicion_ciclo]],1)="B","B",tblAsignaciones[[#This Row],[posicion_ciclo]]))</f>
        <v/>
      </c>
      <c r="J417" s="3">
        <f>_xlfn.XLOOKUP(tblAsignaciones[[#This Row],[tecnico]],tblTecnicos[nombre],tblTecnicos[coordinador],"")</f>
        <v/>
      </c>
      <c r="K4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7" s="3">
        <f>tblAsignaciones[[#This Row],[semana]]&amp;"|"&amp;tblAsignaciones[[#This Row],[dia]]&amp;"|"&amp;tblAsignaciones[[#This Row],[tecnico]]</f>
        <v/>
      </c>
      <c r="N417" s="3">
        <f>_xlfn.XLOOKUP(tblAsignaciones[[#This Row],[turno]],tblTurnos[turno],tblTurnos[hora_inicio],"")</f>
        <v/>
      </c>
      <c r="O417" s="3">
        <f>_xlfn.XLOOKUP(tblAsignaciones[[#This Row],[turno]],tblTurnos[turno],tblTurnos[hora_fin],"")</f>
        <v/>
      </c>
    </row>
    <row r="418">
      <c r="A418" s="3" t="inlineStr">
        <is>
          <t>2026-S32</t>
        </is>
      </c>
      <c r="B418" s="3" t="inlineStr">
        <is>
          <t>martes</t>
        </is>
      </c>
      <c r="C418" s="3" t="inlineStr">
        <is>
          <t>Técnico 12</t>
        </is>
      </c>
      <c r="D418" s="3">
        <f>_xlfn.XLOOKUP(tblAsignaciones[[#This Row],[tecnico]],tblTecnicos[nombre],tblTecnicos[area],"")</f>
        <v/>
      </c>
      <c r="E418" s="3">
        <f>_xlfn.XLOOKUP(tblAsignaciones[[#This Row],[tecnico]],tblTecnicos[nombre],tblTecnicos[especialidad],"")</f>
        <v/>
      </c>
      <c r="F418" s="3">
        <f>COUNTIFS(tblTecnicos[rotativo],"SI",tblTecnicos[especialidad],tblAsignaciones[[#This Row],[especialidad]],tblTecnicos[area],tblAsignaciones[[#This Row],[area]])</f>
        <v/>
      </c>
      <c r="G4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6" t="n"/>
      <c r="I418" s="3">
        <f>IF(tblAsignaciones[[#This Row],[turno_manual]]&lt;&gt;"",tblAsignaciones[[#This Row],[turno_manual]],IF(LEFT(tblAsignaciones[[#This Row],[posicion_ciclo]],1)="B","B",tblAsignaciones[[#This Row],[posicion_ciclo]]))</f>
        <v/>
      </c>
      <c r="J418" s="3">
        <f>_xlfn.XLOOKUP(tblAsignaciones[[#This Row],[tecnico]],tblTecnicos[nombre],tblTecnicos[coordinador],"")</f>
        <v/>
      </c>
      <c r="K4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8" s="3">
        <f>tblAsignaciones[[#This Row],[semana]]&amp;"|"&amp;tblAsignaciones[[#This Row],[dia]]&amp;"|"&amp;tblAsignaciones[[#This Row],[tecnico]]</f>
        <v/>
      </c>
      <c r="N418" s="3">
        <f>_xlfn.XLOOKUP(tblAsignaciones[[#This Row],[turno]],tblTurnos[turno],tblTurnos[hora_inicio],"")</f>
        <v/>
      </c>
      <c r="O418" s="3">
        <f>_xlfn.XLOOKUP(tblAsignaciones[[#This Row],[turno]],tblTurnos[turno],tblTurnos[hora_fin],"")</f>
        <v/>
      </c>
    </row>
    <row r="419">
      <c r="A419" s="3" t="inlineStr">
        <is>
          <t>2026-S32</t>
        </is>
      </c>
      <c r="B419" s="3" t="inlineStr">
        <is>
          <t>miércoles</t>
        </is>
      </c>
      <c r="C419" s="3" t="inlineStr">
        <is>
          <t>Técnico 12</t>
        </is>
      </c>
      <c r="D419" s="3">
        <f>_xlfn.XLOOKUP(tblAsignaciones[[#This Row],[tecnico]],tblTecnicos[nombre],tblTecnicos[area],"")</f>
        <v/>
      </c>
      <c r="E419" s="3">
        <f>_xlfn.XLOOKUP(tblAsignaciones[[#This Row],[tecnico]],tblTecnicos[nombre],tblTecnicos[especialidad],"")</f>
        <v/>
      </c>
      <c r="F419" s="3">
        <f>COUNTIFS(tblTecnicos[rotativo],"SI",tblTecnicos[especialidad],tblAsignaciones[[#This Row],[especialidad]],tblTecnicos[area],tblAsignaciones[[#This Row],[area]])</f>
        <v/>
      </c>
      <c r="G4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6" t="n"/>
      <c r="I419" s="3">
        <f>IF(tblAsignaciones[[#This Row],[turno_manual]]&lt;&gt;"",tblAsignaciones[[#This Row],[turno_manual]],IF(LEFT(tblAsignaciones[[#This Row],[posicion_ciclo]],1)="B","B",tblAsignaciones[[#This Row],[posicion_ciclo]]))</f>
        <v/>
      </c>
      <c r="J419" s="3">
        <f>_xlfn.XLOOKUP(tblAsignaciones[[#This Row],[tecnico]],tblTecnicos[nombre],tblTecnicos[coordinador],"")</f>
        <v/>
      </c>
      <c r="K4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19" s="3">
        <f>tblAsignaciones[[#This Row],[semana]]&amp;"|"&amp;tblAsignaciones[[#This Row],[dia]]&amp;"|"&amp;tblAsignaciones[[#This Row],[tecnico]]</f>
        <v/>
      </c>
      <c r="N419" s="3">
        <f>_xlfn.XLOOKUP(tblAsignaciones[[#This Row],[turno]],tblTurnos[turno],tblTurnos[hora_inicio],"")</f>
        <v/>
      </c>
      <c r="O419" s="3">
        <f>_xlfn.XLOOKUP(tblAsignaciones[[#This Row],[turno]],tblTurnos[turno],tblTurnos[hora_fin],"")</f>
        <v/>
      </c>
    </row>
    <row r="420">
      <c r="A420" s="3" t="inlineStr">
        <is>
          <t>2026-S32</t>
        </is>
      </c>
      <c r="B420" s="3" t="inlineStr">
        <is>
          <t>jueves</t>
        </is>
      </c>
      <c r="C420" s="3" t="inlineStr">
        <is>
          <t>Técnico 12</t>
        </is>
      </c>
      <c r="D420" s="3">
        <f>_xlfn.XLOOKUP(tblAsignaciones[[#This Row],[tecnico]],tblTecnicos[nombre],tblTecnicos[area],"")</f>
        <v/>
      </c>
      <c r="E420" s="3">
        <f>_xlfn.XLOOKUP(tblAsignaciones[[#This Row],[tecnico]],tblTecnicos[nombre],tblTecnicos[especialidad],"")</f>
        <v/>
      </c>
      <c r="F420" s="3">
        <f>COUNTIFS(tblTecnicos[rotativo],"SI",tblTecnicos[especialidad],tblAsignaciones[[#This Row],[especialidad]],tblTecnicos[area],tblAsignaciones[[#This Row],[area]])</f>
        <v/>
      </c>
      <c r="G4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6" t="n"/>
      <c r="I420" s="3">
        <f>IF(tblAsignaciones[[#This Row],[turno_manual]]&lt;&gt;"",tblAsignaciones[[#This Row],[turno_manual]],IF(LEFT(tblAsignaciones[[#This Row],[posicion_ciclo]],1)="B","B",tblAsignaciones[[#This Row],[posicion_ciclo]]))</f>
        <v/>
      </c>
      <c r="J420" s="3">
        <f>_xlfn.XLOOKUP(tblAsignaciones[[#This Row],[tecnico]],tblTecnicos[nombre],tblTecnicos[coordinador],"")</f>
        <v/>
      </c>
      <c r="K4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0" s="3">
        <f>tblAsignaciones[[#This Row],[semana]]&amp;"|"&amp;tblAsignaciones[[#This Row],[dia]]&amp;"|"&amp;tblAsignaciones[[#This Row],[tecnico]]</f>
        <v/>
      </c>
      <c r="N420" s="3">
        <f>_xlfn.XLOOKUP(tblAsignaciones[[#This Row],[turno]],tblTurnos[turno],tblTurnos[hora_inicio],"")</f>
        <v/>
      </c>
      <c r="O420" s="3">
        <f>_xlfn.XLOOKUP(tblAsignaciones[[#This Row],[turno]],tblTurnos[turno],tblTurnos[hora_fin],"")</f>
        <v/>
      </c>
    </row>
    <row r="421">
      <c r="A421" s="3" t="inlineStr">
        <is>
          <t>2026-S32</t>
        </is>
      </c>
      <c r="B421" s="3" t="inlineStr">
        <is>
          <t>viernes</t>
        </is>
      </c>
      <c r="C421" s="3" t="inlineStr">
        <is>
          <t>Técnico 12</t>
        </is>
      </c>
      <c r="D421" s="3">
        <f>_xlfn.XLOOKUP(tblAsignaciones[[#This Row],[tecnico]],tblTecnicos[nombre],tblTecnicos[area],"")</f>
        <v/>
      </c>
      <c r="E421" s="3">
        <f>_xlfn.XLOOKUP(tblAsignaciones[[#This Row],[tecnico]],tblTecnicos[nombre],tblTecnicos[especialidad],"")</f>
        <v/>
      </c>
      <c r="F421" s="3">
        <f>COUNTIFS(tblTecnicos[rotativo],"SI",tblTecnicos[especialidad],tblAsignaciones[[#This Row],[especialidad]],tblTecnicos[area],tblAsignaciones[[#This Row],[area]])</f>
        <v/>
      </c>
      <c r="G4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6" t="n"/>
      <c r="I421" s="3">
        <f>IF(tblAsignaciones[[#This Row],[turno_manual]]&lt;&gt;"",tblAsignaciones[[#This Row],[turno_manual]],IF(LEFT(tblAsignaciones[[#This Row],[posicion_ciclo]],1)="B","B",tblAsignaciones[[#This Row],[posicion_ciclo]]))</f>
        <v/>
      </c>
      <c r="J421" s="3">
        <f>_xlfn.XLOOKUP(tblAsignaciones[[#This Row],[tecnico]],tblTecnicos[nombre],tblTecnicos[coordinador],"")</f>
        <v/>
      </c>
      <c r="K4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1" s="3">
        <f>tblAsignaciones[[#This Row],[semana]]&amp;"|"&amp;tblAsignaciones[[#This Row],[dia]]&amp;"|"&amp;tblAsignaciones[[#This Row],[tecnico]]</f>
        <v/>
      </c>
      <c r="N421" s="3">
        <f>_xlfn.XLOOKUP(tblAsignaciones[[#This Row],[turno]],tblTurnos[turno],tblTurnos[hora_inicio],"")</f>
        <v/>
      </c>
      <c r="O421" s="3">
        <f>_xlfn.XLOOKUP(tblAsignaciones[[#This Row],[turno]],tblTurnos[turno],tblTurnos[hora_fin],"")</f>
        <v/>
      </c>
    </row>
    <row r="422">
      <c r="A422" s="3" t="inlineStr">
        <is>
          <t>2026-S32</t>
        </is>
      </c>
      <c r="B422" s="3" t="inlineStr">
        <is>
          <t>sábado</t>
        </is>
      </c>
      <c r="C422" s="3" t="inlineStr">
        <is>
          <t>Técnico 12</t>
        </is>
      </c>
      <c r="D422" s="3">
        <f>_xlfn.XLOOKUP(tblAsignaciones[[#This Row],[tecnico]],tblTecnicos[nombre],tblTecnicos[area],"")</f>
        <v/>
      </c>
      <c r="E422" s="3">
        <f>_xlfn.XLOOKUP(tblAsignaciones[[#This Row],[tecnico]],tblTecnicos[nombre],tblTecnicos[especialidad],"")</f>
        <v/>
      </c>
      <c r="F422" s="3">
        <f>COUNTIFS(tblTecnicos[rotativo],"SI",tblTecnicos[especialidad],tblAsignaciones[[#This Row],[especialidad]],tblTecnicos[area],tblAsignaciones[[#This Row],[area]])</f>
        <v/>
      </c>
      <c r="G4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6" t="n"/>
      <c r="I422" s="3">
        <f>IF(tblAsignaciones[[#This Row],[turno_manual]]&lt;&gt;"",tblAsignaciones[[#This Row],[turno_manual]],IF(LEFT(tblAsignaciones[[#This Row],[posicion_ciclo]],1)="B","B",tblAsignaciones[[#This Row],[posicion_ciclo]]))</f>
        <v/>
      </c>
      <c r="J422" s="3">
        <f>_xlfn.XLOOKUP(tblAsignaciones[[#This Row],[tecnico]],tblTecnicos[nombre],tblTecnicos[coordinador],"")</f>
        <v/>
      </c>
      <c r="K4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2" s="3">
        <f>tblAsignaciones[[#This Row],[semana]]&amp;"|"&amp;tblAsignaciones[[#This Row],[dia]]&amp;"|"&amp;tblAsignaciones[[#This Row],[tecnico]]</f>
        <v/>
      </c>
      <c r="N422" s="3">
        <f>_xlfn.XLOOKUP(tblAsignaciones[[#This Row],[turno]],tblTurnos[turno],tblTurnos[hora_inicio],"")</f>
        <v/>
      </c>
      <c r="O422" s="3">
        <f>_xlfn.XLOOKUP(tblAsignaciones[[#This Row],[turno]],tblTurnos[turno],tblTurnos[hora_fin],"")</f>
        <v/>
      </c>
    </row>
    <row r="423">
      <c r="A423" s="3" t="inlineStr">
        <is>
          <t>2026-S32</t>
        </is>
      </c>
      <c r="B423" s="3" t="inlineStr">
        <is>
          <t>domingo</t>
        </is>
      </c>
      <c r="C423" s="3" t="inlineStr">
        <is>
          <t>Técnico 12</t>
        </is>
      </c>
      <c r="D423" s="3">
        <f>_xlfn.XLOOKUP(tblAsignaciones[[#This Row],[tecnico]],tblTecnicos[nombre],tblTecnicos[area],"")</f>
        <v/>
      </c>
      <c r="E423" s="3">
        <f>_xlfn.XLOOKUP(tblAsignaciones[[#This Row],[tecnico]],tblTecnicos[nombre],tblTecnicos[especialidad],"")</f>
        <v/>
      </c>
      <c r="F423" s="3">
        <f>COUNTIFS(tblTecnicos[rotativo],"SI",tblTecnicos[especialidad],tblAsignaciones[[#This Row],[especialidad]],tblTecnicos[area],tblAsignaciones[[#This Row],[area]])</f>
        <v/>
      </c>
      <c r="G4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6" t="n"/>
      <c r="I423" s="3">
        <f>IF(tblAsignaciones[[#This Row],[turno_manual]]&lt;&gt;"",tblAsignaciones[[#This Row],[turno_manual]],IF(LEFT(tblAsignaciones[[#This Row],[posicion_ciclo]],1)="B","B",tblAsignaciones[[#This Row],[posicion_ciclo]]))</f>
        <v/>
      </c>
      <c r="J423" s="3">
        <f>_xlfn.XLOOKUP(tblAsignaciones[[#This Row],[tecnico]],tblTecnicos[nombre],tblTecnicos[coordinador],"")</f>
        <v/>
      </c>
      <c r="K4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3" s="3">
        <f>tblAsignaciones[[#This Row],[semana]]&amp;"|"&amp;tblAsignaciones[[#This Row],[dia]]&amp;"|"&amp;tblAsignaciones[[#This Row],[tecnico]]</f>
        <v/>
      </c>
      <c r="N423" s="3">
        <f>_xlfn.XLOOKUP(tblAsignaciones[[#This Row],[turno]],tblTurnos[turno],tblTurnos[hora_inicio],"")</f>
        <v/>
      </c>
      <c r="O423" s="3">
        <f>_xlfn.XLOOKUP(tblAsignaciones[[#This Row],[turno]],tblTurnos[turno],tblTurnos[hora_fin],"")</f>
        <v/>
      </c>
    </row>
    <row r="424">
      <c r="A424" s="3" t="inlineStr">
        <is>
          <t>2026-S32</t>
        </is>
      </c>
      <c r="B424" s="3" t="inlineStr">
        <is>
          <t>lunes</t>
        </is>
      </c>
      <c r="C424" s="3" t="inlineStr">
        <is>
          <t>Técnico 13</t>
        </is>
      </c>
      <c r="D424" s="3">
        <f>_xlfn.XLOOKUP(tblAsignaciones[[#This Row],[tecnico]],tblTecnicos[nombre],tblTecnicos[area],"")</f>
        <v/>
      </c>
      <c r="E424" s="3">
        <f>_xlfn.XLOOKUP(tblAsignaciones[[#This Row],[tecnico]],tblTecnicos[nombre],tblTecnicos[especialidad],"")</f>
        <v/>
      </c>
      <c r="F424" s="3">
        <f>COUNTIFS(tblTecnicos[rotativo],"SI",tblTecnicos[especialidad],tblAsignaciones[[#This Row],[especialidad]],tblTecnicos[area],tblAsignaciones[[#This Row],[area]])</f>
        <v/>
      </c>
      <c r="G4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6" t="n"/>
      <c r="I424" s="3">
        <f>IF(tblAsignaciones[[#This Row],[turno_manual]]&lt;&gt;"",tblAsignaciones[[#This Row],[turno_manual]],IF(LEFT(tblAsignaciones[[#This Row],[posicion_ciclo]],1)="B","B",tblAsignaciones[[#This Row],[posicion_ciclo]]))</f>
        <v/>
      </c>
      <c r="J424" s="3">
        <f>_xlfn.XLOOKUP(tblAsignaciones[[#This Row],[tecnico]],tblTecnicos[nombre],tblTecnicos[coordinador],"")</f>
        <v/>
      </c>
      <c r="K4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4" s="3">
        <f>tblAsignaciones[[#This Row],[semana]]&amp;"|"&amp;tblAsignaciones[[#This Row],[dia]]&amp;"|"&amp;tblAsignaciones[[#This Row],[tecnico]]</f>
        <v/>
      </c>
      <c r="N424" s="3">
        <f>_xlfn.XLOOKUP(tblAsignaciones[[#This Row],[turno]],tblTurnos[turno],tblTurnos[hora_inicio],"")</f>
        <v/>
      </c>
      <c r="O424" s="3">
        <f>_xlfn.XLOOKUP(tblAsignaciones[[#This Row],[turno]],tblTurnos[turno],tblTurnos[hora_fin],"")</f>
        <v/>
      </c>
    </row>
    <row r="425">
      <c r="A425" s="3" t="inlineStr">
        <is>
          <t>2026-S32</t>
        </is>
      </c>
      <c r="B425" s="3" t="inlineStr">
        <is>
          <t>martes</t>
        </is>
      </c>
      <c r="C425" s="3" t="inlineStr">
        <is>
          <t>Técnico 13</t>
        </is>
      </c>
      <c r="D425" s="3">
        <f>_xlfn.XLOOKUP(tblAsignaciones[[#This Row],[tecnico]],tblTecnicos[nombre],tblTecnicos[area],"")</f>
        <v/>
      </c>
      <c r="E425" s="3">
        <f>_xlfn.XLOOKUP(tblAsignaciones[[#This Row],[tecnico]],tblTecnicos[nombre],tblTecnicos[especialidad],"")</f>
        <v/>
      </c>
      <c r="F425" s="3">
        <f>COUNTIFS(tblTecnicos[rotativo],"SI",tblTecnicos[especialidad],tblAsignaciones[[#This Row],[especialidad]],tblTecnicos[area],tblAsignaciones[[#This Row],[area]])</f>
        <v/>
      </c>
      <c r="G4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6" t="n"/>
      <c r="I425" s="3">
        <f>IF(tblAsignaciones[[#This Row],[turno_manual]]&lt;&gt;"",tblAsignaciones[[#This Row],[turno_manual]],IF(LEFT(tblAsignaciones[[#This Row],[posicion_ciclo]],1)="B","B",tblAsignaciones[[#This Row],[posicion_ciclo]]))</f>
        <v/>
      </c>
      <c r="J425" s="3">
        <f>_xlfn.XLOOKUP(tblAsignaciones[[#This Row],[tecnico]],tblTecnicos[nombre],tblTecnicos[coordinador],"")</f>
        <v/>
      </c>
      <c r="K4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5" s="3">
        <f>tblAsignaciones[[#This Row],[semana]]&amp;"|"&amp;tblAsignaciones[[#This Row],[dia]]&amp;"|"&amp;tblAsignaciones[[#This Row],[tecnico]]</f>
        <v/>
      </c>
      <c r="N425" s="3">
        <f>_xlfn.XLOOKUP(tblAsignaciones[[#This Row],[turno]],tblTurnos[turno],tblTurnos[hora_inicio],"")</f>
        <v/>
      </c>
      <c r="O425" s="3">
        <f>_xlfn.XLOOKUP(tblAsignaciones[[#This Row],[turno]],tblTurnos[turno],tblTurnos[hora_fin],"")</f>
        <v/>
      </c>
    </row>
    <row r="426">
      <c r="A426" s="3" t="inlineStr">
        <is>
          <t>2026-S32</t>
        </is>
      </c>
      <c r="B426" s="3" t="inlineStr">
        <is>
          <t>miércoles</t>
        </is>
      </c>
      <c r="C426" s="3" t="inlineStr">
        <is>
          <t>Técnico 13</t>
        </is>
      </c>
      <c r="D426" s="3">
        <f>_xlfn.XLOOKUP(tblAsignaciones[[#This Row],[tecnico]],tblTecnicos[nombre],tblTecnicos[area],"")</f>
        <v/>
      </c>
      <c r="E426" s="3">
        <f>_xlfn.XLOOKUP(tblAsignaciones[[#This Row],[tecnico]],tblTecnicos[nombre],tblTecnicos[especialidad],"")</f>
        <v/>
      </c>
      <c r="F426" s="3">
        <f>COUNTIFS(tblTecnicos[rotativo],"SI",tblTecnicos[especialidad],tblAsignaciones[[#This Row],[especialidad]],tblTecnicos[area],tblAsignaciones[[#This Row],[area]])</f>
        <v/>
      </c>
      <c r="G4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6" t="n"/>
      <c r="I426" s="3">
        <f>IF(tblAsignaciones[[#This Row],[turno_manual]]&lt;&gt;"",tblAsignaciones[[#This Row],[turno_manual]],IF(LEFT(tblAsignaciones[[#This Row],[posicion_ciclo]],1)="B","B",tblAsignaciones[[#This Row],[posicion_ciclo]]))</f>
        <v/>
      </c>
      <c r="J426" s="3">
        <f>_xlfn.XLOOKUP(tblAsignaciones[[#This Row],[tecnico]],tblTecnicos[nombre],tblTecnicos[coordinador],"")</f>
        <v/>
      </c>
      <c r="K4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6" s="3">
        <f>tblAsignaciones[[#This Row],[semana]]&amp;"|"&amp;tblAsignaciones[[#This Row],[dia]]&amp;"|"&amp;tblAsignaciones[[#This Row],[tecnico]]</f>
        <v/>
      </c>
      <c r="N426" s="3">
        <f>_xlfn.XLOOKUP(tblAsignaciones[[#This Row],[turno]],tblTurnos[turno],tblTurnos[hora_inicio],"")</f>
        <v/>
      </c>
      <c r="O426" s="3">
        <f>_xlfn.XLOOKUP(tblAsignaciones[[#This Row],[turno]],tblTurnos[turno],tblTurnos[hora_fin],"")</f>
        <v/>
      </c>
    </row>
    <row r="427">
      <c r="A427" s="3" t="inlineStr">
        <is>
          <t>2026-S32</t>
        </is>
      </c>
      <c r="B427" s="3" t="inlineStr">
        <is>
          <t>jueves</t>
        </is>
      </c>
      <c r="C427" s="3" t="inlineStr">
        <is>
          <t>Técnico 13</t>
        </is>
      </c>
      <c r="D427" s="3">
        <f>_xlfn.XLOOKUP(tblAsignaciones[[#This Row],[tecnico]],tblTecnicos[nombre],tblTecnicos[area],"")</f>
        <v/>
      </c>
      <c r="E427" s="3">
        <f>_xlfn.XLOOKUP(tblAsignaciones[[#This Row],[tecnico]],tblTecnicos[nombre],tblTecnicos[especialidad],"")</f>
        <v/>
      </c>
      <c r="F427" s="3">
        <f>COUNTIFS(tblTecnicos[rotativo],"SI",tblTecnicos[especialidad],tblAsignaciones[[#This Row],[especialidad]],tblTecnicos[area],tblAsignaciones[[#This Row],[area]])</f>
        <v/>
      </c>
      <c r="G4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6" t="n"/>
      <c r="I427" s="3">
        <f>IF(tblAsignaciones[[#This Row],[turno_manual]]&lt;&gt;"",tblAsignaciones[[#This Row],[turno_manual]],IF(LEFT(tblAsignaciones[[#This Row],[posicion_ciclo]],1)="B","B",tblAsignaciones[[#This Row],[posicion_ciclo]]))</f>
        <v/>
      </c>
      <c r="J427" s="3">
        <f>_xlfn.XLOOKUP(tblAsignaciones[[#This Row],[tecnico]],tblTecnicos[nombre],tblTecnicos[coordinador],"")</f>
        <v/>
      </c>
      <c r="K4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7" s="3">
        <f>tblAsignaciones[[#This Row],[semana]]&amp;"|"&amp;tblAsignaciones[[#This Row],[dia]]&amp;"|"&amp;tblAsignaciones[[#This Row],[tecnico]]</f>
        <v/>
      </c>
      <c r="N427" s="3">
        <f>_xlfn.XLOOKUP(tblAsignaciones[[#This Row],[turno]],tblTurnos[turno],tblTurnos[hora_inicio],"")</f>
        <v/>
      </c>
      <c r="O427" s="3">
        <f>_xlfn.XLOOKUP(tblAsignaciones[[#This Row],[turno]],tblTurnos[turno],tblTurnos[hora_fin],"")</f>
        <v/>
      </c>
    </row>
    <row r="428">
      <c r="A428" s="3" t="inlineStr">
        <is>
          <t>2026-S32</t>
        </is>
      </c>
      <c r="B428" s="3" t="inlineStr">
        <is>
          <t>viernes</t>
        </is>
      </c>
      <c r="C428" s="3" t="inlineStr">
        <is>
          <t>Técnico 13</t>
        </is>
      </c>
      <c r="D428" s="3">
        <f>_xlfn.XLOOKUP(tblAsignaciones[[#This Row],[tecnico]],tblTecnicos[nombre],tblTecnicos[area],"")</f>
        <v/>
      </c>
      <c r="E428" s="3">
        <f>_xlfn.XLOOKUP(tblAsignaciones[[#This Row],[tecnico]],tblTecnicos[nombre],tblTecnicos[especialidad],"")</f>
        <v/>
      </c>
      <c r="F428" s="3">
        <f>COUNTIFS(tblTecnicos[rotativo],"SI",tblTecnicos[especialidad],tblAsignaciones[[#This Row],[especialidad]],tblTecnicos[area],tblAsignaciones[[#This Row],[area]])</f>
        <v/>
      </c>
      <c r="G4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6" t="n"/>
      <c r="I428" s="3">
        <f>IF(tblAsignaciones[[#This Row],[turno_manual]]&lt;&gt;"",tblAsignaciones[[#This Row],[turno_manual]],IF(LEFT(tblAsignaciones[[#This Row],[posicion_ciclo]],1)="B","B",tblAsignaciones[[#This Row],[posicion_ciclo]]))</f>
        <v/>
      </c>
      <c r="J428" s="3">
        <f>_xlfn.XLOOKUP(tblAsignaciones[[#This Row],[tecnico]],tblTecnicos[nombre],tblTecnicos[coordinador],"")</f>
        <v/>
      </c>
      <c r="K4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8" s="3">
        <f>tblAsignaciones[[#This Row],[semana]]&amp;"|"&amp;tblAsignaciones[[#This Row],[dia]]&amp;"|"&amp;tblAsignaciones[[#This Row],[tecnico]]</f>
        <v/>
      </c>
      <c r="N428" s="3">
        <f>_xlfn.XLOOKUP(tblAsignaciones[[#This Row],[turno]],tblTurnos[turno],tblTurnos[hora_inicio],"")</f>
        <v/>
      </c>
      <c r="O428" s="3">
        <f>_xlfn.XLOOKUP(tblAsignaciones[[#This Row],[turno]],tblTurnos[turno],tblTurnos[hora_fin],"")</f>
        <v/>
      </c>
    </row>
    <row r="429">
      <c r="A429" s="3" t="inlineStr">
        <is>
          <t>2026-S32</t>
        </is>
      </c>
      <c r="B429" s="3" t="inlineStr">
        <is>
          <t>sábado</t>
        </is>
      </c>
      <c r="C429" s="3" t="inlineStr">
        <is>
          <t>Técnico 13</t>
        </is>
      </c>
      <c r="D429" s="3">
        <f>_xlfn.XLOOKUP(tblAsignaciones[[#This Row],[tecnico]],tblTecnicos[nombre],tblTecnicos[area],"")</f>
        <v/>
      </c>
      <c r="E429" s="3">
        <f>_xlfn.XLOOKUP(tblAsignaciones[[#This Row],[tecnico]],tblTecnicos[nombre],tblTecnicos[especialidad],"")</f>
        <v/>
      </c>
      <c r="F429" s="3">
        <f>COUNTIFS(tblTecnicos[rotativo],"SI",tblTecnicos[especialidad],tblAsignaciones[[#This Row],[especialidad]],tblTecnicos[area],tblAsignaciones[[#This Row],[area]])</f>
        <v/>
      </c>
      <c r="G4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6" t="n"/>
      <c r="I429" s="3">
        <f>IF(tblAsignaciones[[#This Row],[turno_manual]]&lt;&gt;"",tblAsignaciones[[#This Row],[turno_manual]],IF(LEFT(tblAsignaciones[[#This Row],[posicion_ciclo]],1)="B","B",tblAsignaciones[[#This Row],[posicion_ciclo]]))</f>
        <v/>
      </c>
      <c r="J429" s="3">
        <f>_xlfn.XLOOKUP(tblAsignaciones[[#This Row],[tecnico]],tblTecnicos[nombre],tblTecnicos[coordinador],"")</f>
        <v/>
      </c>
      <c r="K4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29" s="3">
        <f>tblAsignaciones[[#This Row],[semana]]&amp;"|"&amp;tblAsignaciones[[#This Row],[dia]]&amp;"|"&amp;tblAsignaciones[[#This Row],[tecnico]]</f>
        <v/>
      </c>
      <c r="N429" s="3">
        <f>_xlfn.XLOOKUP(tblAsignaciones[[#This Row],[turno]],tblTurnos[turno],tblTurnos[hora_inicio],"")</f>
        <v/>
      </c>
      <c r="O429" s="3">
        <f>_xlfn.XLOOKUP(tblAsignaciones[[#This Row],[turno]],tblTurnos[turno],tblTurnos[hora_fin],"")</f>
        <v/>
      </c>
    </row>
    <row r="430">
      <c r="A430" s="3" t="inlineStr">
        <is>
          <t>2026-S32</t>
        </is>
      </c>
      <c r="B430" s="3" t="inlineStr">
        <is>
          <t>domingo</t>
        </is>
      </c>
      <c r="C430" s="3" t="inlineStr">
        <is>
          <t>Técnico 13</t>
        </is>
      </c>
      <c r="D430" s="3">
        <f>_xlfn.XLOOKUP(tblAsignaciones[[#This Row],[tecnico]],tblTecnicos[nombre],tblTecnicos[area],"")</f>
        <v/>
      </c>
      <c r="E430" s="3">
        <f>_xlfn.XLOOKUP(tblAsignaciones[[#This Row],[tecnico]],tblTecnicos[nombre],tblTecnicos[especialidad],"")</f>
        <v/>
      </c>
      <c r="F430" s="3">
        <f>COUNTIFS(tblTecnicos[rotativo],"SI",tblTecnicos[especialidad],tblAsignaciones[[#This Row],[especialidad]],tblTecnicos[area],tblAsignaciones[[#This Row],[area]])</f>
        <v/>
      </c>
      <c r="G4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6" t="n"/>
      <c r="I430" s="3">
        <f>IF(tblAsignaciones[[#This Row],[turno_manual]]&lt;&gt;"",tblAsignaciones[[#This Row],[turno_manual]],IF(LEFT(tblAsignaciones[[#This Row],[posicion_ciclo]],1)="B","B",tblAsignaciones[[#This Row],[posicion_ciclo]]))</f>
        <v/>
      </c>
      <c r="J430" s="3">
        <f>_xlfn.XLOOKUP(tblAsignaciones[[#This Row],[tecnico]],tblTecnicos[nombre],tblTecnicos[coordinador],"")</f>
        <v/>
      </c>
      <c r="K4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0" s="3">
        <f>tblAsignaciones[[#This Row],[semana]]&amp;"|"&amp;tblAsignaciones[[#This Row],[dia]]&amp;"|"&amp;tblAsignaciones[[#This Row],[tecnico]]</f>
        <v/>
      </c>
      <c r="N430" s="3">
        <f>_xlfn.XLOOKUP(tblAsignaciones[[#This Row],[turno]],tblTurnos[turno],tblTurnos[hora_inicio],"")</f>
        <v/>
      </c>
      <c r="O430" s="3">
        <f>_xlfn.XLOOKUP(tblAsignaciones[[#This Row],[turno]],tblTurnos[turno],tblTurnos[hora_fin],"")</f>
        <v/>
      </c>
    </row>
    <row r="431">
      <c r="A431" s="3" t="inlineStr">
        <is>
          <t>2026-S32</t>
        </is>
      </c>
      <c r="B431" s="3" t="inlineStr">
        <is>
          <t>lunes</t>
        </is>
      </c>
      <c r="C431" s="3" t="inlineStr">
        <is>
          <t>Técnico 14</t>
        </is>
      </c>
      <c r="D431" s="3">
        <f>_xlfn.XLOOKUP(tblAsignaciones[[#This Row],[tecnico]],tblTecnicos[nombre],tblTecnicos[area],"")</f>
        <v/>
      </c>
      <c r="E431" s="3">
        <f>_xlfn.XLOOKUP(tblAsignaciones[[#This Row],[tecnico]],tblTecnicos[nombre],tblTecnicos[especialidad],"")</f>
        <v/>
      </c>
      <c r="F431" s="3">
        <f>COUNTIFS(tblTecnicos[rotativo],"SI",tblTecnicos[especialidad],tblAsignaciones[[#This Row],[especialidad]],tblTecnicos[area],tblAsignaciones[[#This Row],[area]])</f>
        <v/>
      </c>
      <c r="G4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6" t="n"/>
      <c r="I431" s="3">
        <f>IF(tblAsignaciones[[#This Row],[turno_manual]]&lt;&gt;"",tblAsignaciones[[#This Row],[turno_manual]],IF(LEFT(tblAsignaciones[[#This Row],[posicion_ciclo]],1)="B","B",tblAsignaciones[[#This Row],[posicion_ciclo]]))</f>
        <v/>
      </c>
      <c r="J431" s="3">
        <f>_xlfn.XLOOKUP(tblAsignaciones[[#This Row],[tecnico]],tblTecnicos[nombre],tblTecnicos[coordinador],"")</f>
        <v/>
      </c>
      <c r="K4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1" s="3">
        <f>tblAsignaciones[[#This Row],[semana]]&amp;"|"&amp;tblAsignaciones[[#This Row],[dia]]&amp;"|"&amp;tblAsignaciones[[#This Row],[tecnico]]</f>
        <v/>
      </c>
      <c r="N431" s="3">
        <f>_xlfn.XLOOKUP(tblAsignaciones[[#This Row],[turno]],tblTurnos[turno],tblTurnos[hora_inicio],"")</f>
        <v/>
      </c>
      <c r="O431" s="3">
        <f>_xlfn.XLOOKUP(tblAsignaciones[[#This Row],[turno]],tblTurnos[turno],tblTurnos[hora_fin],"")</f>
        <v/>
      </c>
    </row>
    <row r="432">
      <c r="A432" s="3" t="inlineStr">
        <is>
          <t>2026-S32</t>
        </is>
      </c>
      <c r="B432" s="3" t="inlineStr">
        <is>
          <t>martes</t>
        </is>
      </c>
      <c r="C432" s="3" t="inlineStr">
        <is>
          <t>Técnico 14</t>
        </is>
      </c>
      <c r="D432" s="3">
        <f>_xlfn.XLOOKUP(tblAsignaciones[[#This Row],[tecnico]],tblTecnicos[nombre],tblTecnicos[area],"")</f>
        <v/>
      </c>
      <c r="E432" s="3">
        <f>_xlfn.XLOOKUP(tblAsignaciones[[#This Row],[tecnico]],tblTecnicos[nombre],tblTecnicos[especialidad],"")</f>
        <v/>
      </c>
      <c r="F432" s="3">
        <f>COUNTIFS(tblTecnicos[rotativo],"SI",tblTecnicos[especialidad],tblAsignaciones[[#This Row],[especialidad]],tblTecnicos[area],tblAsignaciones[[#This Row],[area]])</f>
        <v/>
      </c>
      <c r="G4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6" t="n"/>
      <c r="I432" s="3">
        <f>IF(tblAsignaciones[[#This Row],[turno_manual]]&lt;&gt;"",tblAsignaciones[[#This Row],[turno_manual]],IF(LEFT(tblAsignaciones[[#This Row],[posicion_ciclo]],1)="B","B",tblAsignaciones[[#This Row],[posicion_ciclo]]))</f>
        <v/>
      </c>
      <c r="J432" s="3">
        <f>_xlfn.XLOOKUP(tblAsignaciones[[#This Row],[tecnico]],tblTecnicos[nombre],tblTecnicos[coordinador],"")</f>
        <v/>
      </c>
      <c r="K4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2" s="3">
        <f>tblAsignaciones[[#This Row],[semana]]&amp;"|"&amp;tblAsignaciones[[#This Row],[dia]]&amp;"|"&amp;tblAsignaciones[[#This Row],[tecnico]]</f>
        <v/>
      </c>
      <c r="N432" s="3">
        <f>_xlfn.XLOOKUP(tblAsignaciones[[#This Row],[turno]],tblTurnos[turno],tblTurnos[hora_inicio],"")</f>
        <v/>
      </c>
      <c r="O432" s="3">
        <f>_xlfn.XLOOKUP(tblAsignaciones[[#This Row],[turno]],tblTurnos[turno],tblTurnos[hora_fin],"")</f>
        <v/>
      </c>
    </row>
    <row r="433">
      <c r="A433" s="3" t="inlineStr">
        <is>
          <t>2026-S32</t>
        </is>
      </c>
      <c r="B433" s="3" t="inlineStr">
        <is>
          <t>miércoles</t>
        </is>
      </c>
      <c r="C433" s="3" t="inlineStr">
        <is>
          <t>Técnico 14</t>
        </is>
      </c>
      <c r="D433" s="3">
        <f>_xlfn.XLOOKUP(tblAsignaciones[[#This Row],[tecnico]],tblTecnicos[nombre],tblTecnicos[area],"")</f>
        <v/>
      </c>
      <c r="E433" s="3">
        <f>_xlfn.XLOOKUP(tblAsignaciones[[#This Row],[tecnico]],tblTecnicos[nombre],tblTecnicos[especialidad],"")</f>
        <v/>
      </c>
      <c r="F433" s="3">
        <f>COUNTIFS(tblTecnicos[rotativo],"SI",tblTecnicos[especialidad],tblAsignaciones[[#This Row],[especialidad]],tblTecnicos[area],tblAsignaciones[[#This Row],[area]])</f>
        <v/>
      </c>
      <c r="G4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6" t="n"/>
      <c r="I433" s="3">
        <f>IF(tblAsignaciones[[#This Row],[turno_manual]]&lt;&gt;"",tblAsignaciones[[#This Row],[turno_manual]],IF(LEFT(tblAsignaciones[[#This Row],[posicion_ciclo]],1)="B","B",tblAsignaciones[[#This Row],[posicion_ciclo]]))</f>
        <v/>
      </c>
      <c r="J433" s="3">
        <f>_xlfn.XLOOKUP(tblAsignaciones[[#This Row],[tecnico]],tblTecnicos[nombre],tblTecnicos[coordinador],"")</f>
        <v/>
      </c>
      <c r="K4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3" s="3">
        <f>tblAsignaciones[[#This Row],[semana]]&amp;"|"&amp;tblAsignaciones[[#This Row],[dia]]&amp;"|"&amp;tblAsignaciones[[#This Row],[tecnico]]</f>
        <v/>
      </c>
      <c r="N433" s="3">
        <f>_xlfn.XLOOKUP(tblAsignaciones[[#This Row],[turno]],tblTurnos[turno],tblTurnos[hora_inicio],"")</f>
        <v/>
      </c>
      <c r="O433" s="3">
        <f>_xlfn.XLOOKUP(tblAsignaciones[[#This Row],[turno]],tblTurnos[turno],tblTurnos[hora_fin],"")</f>
        <v/>
      </c>
    </row>
    <row r="434">
      <c r="A434" s="3" t="inlineStr">
        <is>
          <t>2026-S32</t>
        </is>
      </c>
      <c r="B434" s="3" t="inlineStr">
        <is>
          <t>jueves</t>
        </is>
      </c>
      <c r="C434" s="3" t="inlineStr">
        <is>
          <t>Técnico 14</t>
        </is>
      </c>
      <c r="D434" s="3">
        <f>_xlfn.XLOOKUP(tblAsignaciones[[#This Row],[tecnico]],tblTecnicos[nombre],tblTecnicos[area],"")</f>
        <v/>
      </c>
      <c r="E434" s="3">
        <f>_xlfn.XLOOKUP(tblAsignaciones[[#This Row],[tecnico]],tblTecnicos[nombre],tblTecnicos[especialidad],"")</f>
        <v/>
      </c>
      <c r="F434" s="3">
        <f>COUNTIFS(tblTecnicos[rotativo],"SI",tblTecnicos[especialidad],tblAsignaciones[[#This Row],[especialidad]],tblTecnicos[area],tblAsignaciones[[#This Row],[area]])</f>
        <v/>
      </c>
      <c r="G4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6" t="n"/>
      <c r="I434" s="3">
        <f>IF(tblAsignaciones[[#This Row],[turno_manual]]&lt;&gt;"",tblAsignaciones[[#This Row],[turno_manual]],IF(LEFT(tblAsignaciones[[#This Row],[posicion_ciclo]],1)="B","B",tblAsignaciones[[#This Row],[posicion_ciclo]]))</f>
        <v/>
      </c>
      <c r="J434" s="3">
        <f>_xlfn.XLOOKUP(tblAsignaciones[[#This Row],[tecnico]],tblTecnicos[nombre],tblTecnicos[coordinador],"")</f>
        <v/>
      </c>
      <c r="K4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4" s="3">
        <f>tblAsignaciones[[#This Row],[semana]]&amp;"|"&amp;tblAsignaciones[[#This Row],[dia]]&amp;"|"&amp;tblAsignaciones[[#This Row],[tecnico]]</f>
        <v/>
      </c>
      <c r="N434" s="3">
        <f>_xlfn.XLOOKUP(tblAsignaciones[[#This Row],[turno]],tblTurnos[turno],tblTurnos[hora_inicio],"")</f>
        <v/>
      </c>
      <c r="O434" s="3">
        <f>_xlfn.XLOOKUP(tblAsignaciones[[#This Row],[turno]],tblTurnos[turno],tblTurnos[hora_fin],"")</f>
        <v/>
      </c>
    </row>
    <row r="435">
      <c r="A435" s="3" t="inlineStr">
        <is>
          <t>2026-S32</t>
        </is>
      </c>
      <c r="B435" s="3" t="inlineStr">
        <is>
          <t>viernes</t>
        </is>
      </c>
      <c r="C435" s="3" t="inlineStr">
        <is>
          <t>Técnico 14</t>
        </is>
      </c>
      <c r="D435" s="3">
        <f>_xlfn.XLOOKUP(tblAsignaciones[[#This Row],[tecnico]],tblTecnicos[nombre],tblTecnicos[area],"")</f>
        <v/>
      </c>
      <c r="E435" s="3">
        <f>_xlfn.XLOOKUP(tblAsignaciones[[#This Row],[tecnico]],tblTecnicos[nombre],tblTecnicos[especialidad],"")</f>
        <v/>
      </c>
      <c r="F435" s="3">
        <f>COUNTIFS(tblTecnicos[rotativo],"SI",tblTecnicos[especialidad],tblAsignaciones[[#This Row],[especialidad]],tblTecnicos[area],tblAsignaciones[[#This Row],[area]])</f>
        <v/>
      </c>
      <c r="G4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6" t="n"/>
      <c r="I435" s="3">
        <f>IF(tblAsignaciones[[#This Row],[turno_manual]]&lt;&gt;"",tblAsignaciones[[#This Row],[turno_manual]],IF(LEFT(tblAsignaciones[[#This Row],[posicion_ciclo]],1)="B","B",tblAsignaciones[[#This Row],[posicion_ciclo]]))</f>
        <v/>
      </c>
      <c r="J435" s="3">
        <f>_xlfn.XLOOKUP(tblAsignaciones[[#This Row],[tecnico]],tblTecnicos[nombre],tblTecnicos[coordinador],"")</f>
        <v/>
      </c>
      <c r="K4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5" s="3">
        <f>tblAsignaciones[[#This Row],[semana]]&amp;"|"&amp;tblAsignaciones[[#This Row],[dia]]&amp;"|"&amp;tblAsignaciones[[#This Row],[tecnico]]</f>
        <v/>
      </c>
      <c r="N435" s="3">
        <f>_xlfn.XLOOKUP(tblAsignaciones[[#This Row],[turno]],tblTurnos[turno],tblTurnos[hora_inicio],"")</f>
        <v/>
      </c>
      <c r="O435" s="3">
        <f>_xlfn.XLOOKUP(tblAsignaciones[[#This Row],[turno]],tblTurnos[turno],tblTurnos[hora_fin],"")</f>
        <v/>
      </c>
    </row>
    <row r="436">
      <c r="A436" s="3" t="inlineStr">
        <is>
          <t>2026-S32</t>
        </is>
      </c>
      <c r="B436" s="3" t="inlineStr">
        <is>
          <t>sábado</t>
        </is>
      </c>
      <c r="C436" s="3" t="inlineStr">
        <is>
          <t>Técnico 14</t>
        </is>
      </c>
      <c r="D436" s="3">
        <f>_xlfn.XLOOKUP(tblAsignaciones[[#This Row],[tecnico]],tblTecnicos[nombre],tblTecnicos[area],"")</f>
        <v/>
      </c>
      <c r="E436" s="3">
        <f>_xlfn.XLOOKUP(tblAsignaciones[[#This Row],[tecnico]],tblTecnicos[nombre],tblTecnicos[especialidad],"")</f>
        <v/>
      </c>
      <c r="F436" s="3">
        <f>COUNTIFS(tblTecnicos[rotativo],"SI",tblTecnicos[especialidad],tblAsignaciones[[#This Row],[especialidad]],tblTecnicos[area],tblAsignaciones[[#This Row],[area]])</f>
        <v/>
      </c>
      <c r="G4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6" t="n"/>
      <c r="I436" s="3">
        <f>IF(tblAsignaciones[[#This Row],[turno_manual]]&lt;&gt;"",tblAsignaciones[[#This Row],[turno_manual]],IF(LEFT(tblAsignaciones[[#This Row],[posicion_ciclo]],1)="B","B",tblAsignaciones[[#This Row],[posicion_ciclo]]))</f>
        <v/>
      </c>
      <c r="J436" s="3">
        <f>_xlfn.XLOOKUP(tblAsignaciones[[#This Row],[tecnico]],tblTecnicos[nombre],tblTecnicos[coordinador],"")</f>
        <v/>
      </c>
      <c r="K4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6" s="3">
        <f>tblAsignaciones[[#This Row],[semana]]&amp;"|"&amp;tblAsignaciones[[#This Row],[dia]]&amp;"|"&amp;tblAsignaciones[[#This Row],[tecnico]]</f>
        <v/>
      </c>
      <c r="N436" s="3">
        <f>_xlfn.XLOOKUP(tblAsignaciones[[#This Row],[turno]],tblTurnos[turno],tblTurnos[hora_inicio],"")</f>
        <v/>
      </c>
      <c r="O436" s="3">
        <f>_xlfn.XLOOKUP(tblAsignaciones[[#This Row],[turno]],tblTurnos[turno],tblTurnos[hora_fin],"")</f>
        <v/>
      </c>
    </row>
    <row r="437">
      <c r="A437" s="3" t="inlineStr">
        <is>
          <t>2026-S32</t>
        </is>
      </c>
      <c r="B437" s="3" t="inlineStr">
        <is>
          <t>domingo</t>
        </is>
      </c>
      <c r="C437" s="3" t="inlineStr">
        <is>
          <t>Técnico 14</t>
        </is>
      </c>
      <c r="D437" s="3">
        <f>_xlfn.XLOOKUP(tblAsignaciones[[#This Row],[tecnico]],tblTecnicos[nombre],tblTecnicos[area],"")</f>
        <v/>
      </c>
      <c r="E437" s="3">
        <f>_xlfn.XLOOKUP(tblAsignaciones[[#This Row],[tecnico]],tblTecnicos[nombre],tblTecnicos[especialidad],"")</f>
        <v/>
      </c>
      <c r="F437" s="3">
        <f>COUNTIFS(tblTecnicos[rotativo],"SI",tblTecnicos[especialidad],tblAsignaciones[[#This Row],[especialidad]],tblTecnicos[area],tblAsignaciones[[#This Row],[area]])</f>
        <v/>
      </c>
      <c r="G4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6" t="n"/>
      <c r="I437" s="3">
        <f>IF(tblAsignaciones[[#This Row],[turno_manual]]&lt;&gt;"",tblAsignaciones[[#This Row],[turno_manual]],IF(LEFT(tblAsignaciones[[#This Row],[posicion_ciclo]],1)="B","B",tblAsignaciones[[#This Row],[posicion_ciclo]]))</f>
        <v/>
      </c>
      <c r="J437" s="3">
        <f>_xlfn.XLOOKUP(tblAsignaciones[[#This Row],[tecnico]],tblTecnicos[nombre],tblTecnicos[coordinador],"")</f>
        <v/>
      </c>
      <c r="K4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7" s="3">
        <f>tblAsignaciones[[#This Row],[semana]]&amp;"|"&amp;tblAsignaciones[[#This Row],[dia]]&amp;"|"&amp;tblAsignaciones[[#This Row],[tecnico]]</f>
        <v/>
      </c>
      <c r="N437" s="3">
        <f>_xlfn.XLOOKUP(tblAsignaciones[[#This Row],[turno]],tblTurnos[turno],tblTurnos[hora_inicio],"")</f>
        <v/>
      </c>
      <c r="O437" s="3">
        <f>_xlfn.XLOOKUP(tblAsignaciones[[#This Row],[turno]],tblTurnos[turno],tblTurnos[hora_fin],"")</f>
        <v/>
      </c>
    </row>
    <row r="438">
      <c r="A438" s="3" t="inlineStr">
        <is>
          <t>2026-S32</t>
        </is>
      </c>
      <c r="B438" s="3" t="inlineStr">
        <is>
          <t>lunes</t>
        </is>
      </c>
      <c r="C438" s="3" t="inlineStr">
        <is>
          <t>Técnico 15</t>
        </is>
      </c>
      <c r="D438" s="3">
        <f>_xlfn.XLOOKUP(tblAsignaciones[[#This Row],[tecnico]],tblTecnicos[nombre],tblTecnicos[area],"")</f>
        <v/>
      </c>
      <c r="E438" s="3">
        <f>_xlfn.XLOOKUP(tblAsignaciones[[#This Row],[tecnico]],tblTecnicos[nombre],tblTecnicos[especialidad],"")</f>
        <v/>
      </c>
      <c r="F438" s="3">
        <f>COUNTIFS(tblTecnicos[rotativo],"SI",tblTecnicos[especialidad],tblAsignaciones[[#This Row],[especialidad]],tblTecnicos[area],tblAsignaciones[[#This Row],[area]])</f>
        <v/>
      </c>
      <c r="G4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6" t="n"/>
      <c r="I438" s="3">
        <f>IF(tblAsignaciones[[#This Row],[turno_manual]]&lt;&gt;"",tblAsignaciones[[#This Row],[turno_manual]],IF(LEFT(tblAsignaciones[[#This Row],[posicion_ciclo]],1)="B","B",tblAsignaciones[[#This Row],[posicion_ciclo]]))</f>
        <v/>
      </c>
      <c r="J438" s="3">
        <f>_xlfn.XLOOKUP(tblAsignaciones[[#This Row],[tecnico]],tblTecnicos[nombre],tblTecnicos[coordinador],"")</f>
        <v/>
      </c>
      <c r="K4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8" s="3">
        <f>tblAsignaciones[[#This Row],[semana]]&amp;"|"&amp;tblAsignaciones[[#This Row],[dia]]&amp;"|"&amp;tblAsignaciones[[#This Row],[tecnico]]</f>
        <v/>
      </c>
      <c r="N438" s="3">
        <f>_xlfn.XLOOKUP(tblAsignaciones[[#This Row],[turno]],tblTurnos[turno],tblTurnos[hora_inicio],"")</f>
        <v/>
      </c>
      <c r="O438" s="3">
        <f>_xlfn.XLOOKUP(tblAsignaciones[[#This Row],[turno]],tblTurnos[turno],tblTurnos[hora_fin],"")</f>
        <v/>
      </c>
    </row>
    <row r="439">
      <c r="A439" s="3" t="inlineStr">
        <is>
          <t>2026-S32</t>
        </is>
      </c>
      <c r="B439" s="3" t="inlineStr">
        <is>
          <t>martes</t>
        </is>
      </c>
      <c r="C439" s="3" t="inlineStr">
        <is>
          <t>Técnico 15</t>
        </is>
      </c>
      <c r="D439" s="3">
        <f>_xlfn.XLOOKUP(tblAsignaciones[[#This Row],[tecnico]],tblTecnicos[nombre],tblTecnicos[area],"")</f>
        <v/>
      </c>
      <c r="E439" s="3">
        <f>_xlfn.XLOOKUP(tblAsignaciones[[#This Row],[tecnico]],tblTecnicos[nombre],tblTecnicos[especialidad],"")</f>
        <v/>
      </c>
      <c r="F439" s="3">
        <f>COUNTIFS(tblTecnicos[rotativo],"SI",tblTecnicos[especialidad],tblAsignaciones[[#This Row],[especialidad]],tblTecnicos[area],tblAsignaciones[[#This Row],[area]])</f>
        <v/>
      </c>
      <c r="G4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6" t="n"/>
      <c r="I439" s="3">
        <f>IF(tblAsignaciones[[#This Row],[turno_manual]]&lt;&gt;"",tblAsignaciones[[#This Row],[turno_manual]],IF(LEFT(tblAsignaciones[[#This Row],[posicion_ciclo]],1)="B","B",tblAsignaciones[[#This Row],[posicion_ciclo]]))</f>
        <v/>
      </c>
      <c r="J439" s="3">
        <f>_xlfn.XLOOKUP(tblAsignaciones[[#This Row],[tecnico]],tblTecnicos[nombre],tblTecnicos[coordinador],"")</f>
        <v/>
      </c>
      <c r="K4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39" s="3">
        <f>tblAsignaciones[[#This Row],[semana]]&amp;"|"&amp;tblAsignaciones[[#This Row],[dia]]&amp;"|"&amp;tblAsignaciones[[#This Row],[tecnico]]</f>
        <v/>
      </c>
      <c r="N439" s="3">
        <f>_xlfn.XLOOKUP(tblAsignaciones[[#This Row],[turno]],tblTurnos[turno],tblTurnos[hora_inicio],"")</f>
        <v/>
      </c>
      <c r="O439" s="3">
        <f>_xlfn.XLOOKUP(tblAsignaciones[[#This Row],[turno]],tblTurnos[turno],tblTurnos[hora_fin],"")</f>
        <v/>
      </c>
    </row>
    <row r="440">
      <c r="A440" s="3" t="inlineStr">
        <is>
          <t>2026-S32</t>
        </is>
      </c>
      <c r="B440" s="3" t="inlineStr">
        <is>
          <t>miércoles</t>
        </is>
      </c>
      <c r="C440" s="3" t="inlineStr">
        <is>
          <t>Técnico 15</t>
        </is>
      </c>
      <c r="D440" s="3">
        <f>_xlfn.XLOOKUP(tblAsignaciones[[#This Row],[tecnico]],tblTecnicos[nombre],tblTecnicos[area],"")</f>
        <v/>
      </c>
      <c r="E440" s="3">
        <f>_xlfn.XLOOKUP(tblAsignaciones[[#This Row],[tecnico]],tblTecnicos[nombre],tblTecnicos[especialidad],"")</f>
        <v/>
      </c>
      <c r="F440" s="3">
        <f>COUNTIFS(tblTecnicos[rotativo],"SI",tblTecnicos[especialidad],tblAsignaciones[[#This Row],[especialidad]],tblTecnicos[area],tblAsignaciones[[#This Row],[area]])</f>
        <v/>
      </c>
      <c r="G4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6" t="n"/>
      <c r="I440" s="3">
        <f>IF(tblAsignaciones[[#This Row],[turno_manual]]&lt;&gt;"",tblAsignaciones[[#This Row],[turno_manual]],IF(LEFT(tblAsignaciones[[#This Row],[posicion_ciclo]],1)="B","B",tblAsignaciones[[#This Row],[posicion_ciclo]]))</f>
        <v/>
      </c>
      <c r="J440" s="3">
        <f>_xlfn.XLOOKUP(tblAsignaciones[[#This Row],[tecnico]],tblTecnicos[nombre],tblTecnicos[coordinador],"")</f>
        <v/>
      </c>
      <c r="K4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0" s="3">
        <f>tblAsignaciones[[#This Row],[semana]]&amp;"|"&amp;tblAsignaciones[[#This Row],[dia]]&amp;"|"&amp;tblAsignaciones[[#This Row],[tecnico]]</f>
        <v/>
      </c>
      <c r="N440" s="3">
        <f>_xlfn.XLOOKUP(tblAsignaciones[[#This Row],[turno]],tblTurnos[turno],tblTurnos[hora_inicio],"")</f>
        <v/>
      </c>
      <c r="O440" s="3">
        <f>_xlfn.XLOOKUP(tblAsignaciones[[#This Row],[turno]],tblTurnos[turno],tblTurnos[hora_fin],"")</f>
        <v/>
      </c>
    </row>
    <row r="441">
      <c r="A441" s="3" t="inlineStr">
        <is>
          <t>2026-S32</t>
        </is>
      </c>
      <c r="B441" s="3" t="inlineStr">
        <is>
          <t>jueves</t>
        </is>
      </c>
      <c r="C441" s="3" t="inlineStr">
        <is>
          <t>Técnico 15</t>
        </is>
      </c>
      <c r="D441" s="3">
        <f>_xlfn.XLOOKUP(tblAsignaciones[[#This Row],[tecnico]],tblTecnicos[nombre],tblTecnicos[area],"")</f>
        <v/>
      </c>
      <c r="E441" s="3">
        <f>_xlfn.XLOOKUP(tblAsignaciones[[#This Row],[tecnico]],tblTecnicos[nombre],tblTecnicos[especialidad],"")</f>
        <v/>
      </c>
      <c r="F441" s="3">
        <f>COUNTIFS(tblTecnicos[rotativo],"SI",tblTecnicos[especialidad],tblAsignaciones[[#This Row],[especialidad]],tblTecnicos[area],tblAsignaciones[[#This Row],[area]])</f>
        <v/>
      </c>
      <c r="G4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6" t="n"/>
      <c r="I441" s="3">
        <f>IF(tblAsignaciones[[#This Row],[turno_manual]]&lt;&gt;"",tblAsignaciones[[#This Row],[turno_manual]],IF(LEFT(tblAsignaciones[[#This Row],[posicion_ciclo]],1)="B","B",tblAsignaciones[[#This Row],[posicion_ciclo]]))</f>
        <v/>
      </c>
      <c r="J441" s="3">
        <f>_xlfn.XLOOKUP(tblAsignaciones[[#This Row],[tecnico]],tblTecnicos[nombre],tblTecnicos[coordinador],"")</f>
        <v/>
      </c>
      <c r="K4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1" s="3">
        <f>tblAsignaciones[[#This Row],[semana]]&amp;"|"&amp;tblAsignaciones[[#This Row],[dia]]&amp;"|"&amp;tblAsignaciones[[#This Row],[tecnico]]</f>
        <v/>
      </c>
      <c r="N441" s="3">
        <f>_xlfn.XLOOKUP(tblAsignaciones[[#This Row],[turno]],tblTurnos[turno],tblTurnos[hora_inicio],"")</f>
        <v/>
      </c>
      <c r="O441" s="3">
        <f>_xlfn.XLOOKUP(tblAsignaciones[[#This Row],[turno]],tblTurnos[turno],tblTurnos[hora_fin],"")</f>
        <v/>
      </c>
    </row>
    <row r="442">
      <c r="A442" s="3" t="inlineStr">
        <is>
          <t>2026-S32</t>
        </is>
      </c>
      <c r="B442" s="3" t="inlineStr">
        <is>
          <t>viernes</t>
        </is>
      </c>
      <c r="C442" s="3" t="inlineStr">
        <is>
          <t>Técnico 15</t>
        </is>
      </c>
      <c r="D442" s="3">
        <f>_xlfn.XLOOKUP(tblAsignaciones[[#This Row],[tecnico]],tblTecnicos[nombre],tblTecnicos[area],"")</f>
        <v/>
      </c>
      <c r="E442" s="3">
        <f>_xlfn.XLOOKUP(tblAsignaciones[[#This Row],[tecnico]],tblTecnicos[nombre],tblTecnicos[especialidad],"")</f>
        <v/>
      </c>
      <c r="F442" s="3">
        <f>COUNTIFS(tblTecnicos[rotativo],"SI",tblTecnicos[especialidad],tblAsignaciones[[#This Row],[especialidad]],tblTecnicos[area],tblAsignaciones[[#This Row],[area]])</f>
        <v/>
      </c>
      <c r="G4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6" t="n"/>
      <c r="I442" s="3">
        <f>IF(tblAsignaciones[[#This Row],[turno_manual]]&lt;&gt;"",tblAsignaciones[[#This Row],[turno_manual]],IF(LEFT(tblAsignaciones[[#This Row],[posicion_ciclo]],1)="B","B",tblAsignaciones[[#This Row],[posicion_ciclo]]))</f>
        <v/>
      </c>
      <c r="J442" s="3">
        <f>_xlfn.XLOOKUP(tblAsignaciones[[#This Row],[tecnico]],tblTecnicos[nombre],tblTecnicos[coordinador],"")</f>
        <v/>
      </c>
      <c r="K4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2" s="3">
        <f>tblAsignaciones[[#This Row],[semana]]&amp;"|"&amp;tblAsignaciones[[#This Row],[dia]]&amp;"|"&amp;tblAsignaciones[[#This Row],[tecnico]]</f>
        <v/>
      </c>
      <c r="N442" s="3">
        <f>_xlfn.XLOOKUP(tblAsignaciones[[#This Row],[turno]],tblTurnos[turno],tblTurnos[hora_inicio],"")</f>
        <v/>
      </c>
      <c r="O442" s="3">
        <f>_xlfn.XLOOKUP(tblAsignaciones[[#This Row],[turno]],tblTurnos[turno],tblTurnos[hora_fin],"")</f>
        <v/>
      </c>
    </row>
    <row r="443">
      <c r="A443" s="3" t="inlineStr">
        <is>
          <t>2026-S32</t>
        </is>
      </c>
      <c r="B443" s="3" t="inlineStr">
        <is>
          <t>sábado</t>
        </is>
      </c>
      <c r="C443" s="3" t="inlineStr">
        <is>
          <t>Técnico 15</t>
        </is>
      </c>
      <c r="D443" s="3">
        <f>_xlfn.XLOOKUP(tblAsignaciones[[#This Row],[tecnico]],tblTecnicos[nombre],tblTecnicos[area],"")</f>
        <v/>
      </c>
      <c r="E443" s="3">
        <f>_xlfn.XLOOKUP(tblAsignaciones[[#This Row],[tecnico]],tblTecnicos[nombre],tblTecnicos[especialidad],"")</f>
        <v/>
      </c>
      <c r="F443" s="3">
        <f>COUNTIFS(tblTecnicos[rotativo],"SI",tblTecnicos[especialidad],tblAsignaciones[[#This Row],[especialidad]],tblTecnicos[area],tblAsignaciones[[#This Row],[area]])</f>
        <v/>
      </c>
      <c r="G4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6" t="n"/>
      <c r="I443" s="3">
        <f>IF(tblAsignaciones[[#This Row],[turno_manual]]&lt;&gt;"",tblAsignaciones[[#This Row],[turno_manual]],IF(LEFT(tblAsignaciones[[#This Row],[posicion_ciclo]],1)="B","B",tblAsignaciones[[#This Row],[posicion_ciclo]]))</f>
        <v/>
      </c>
      <c r="J443" s="3">
        <f>_xlfn.XLOOKUP(tblAsignaciones[[#This Row],[tecnico]],tblTecnicos[nombre],tblTecnicos[coordinador],"")</f>
        <v/>
      </c>
      <c r="K4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3" s="3">
        <f>tblAsignaciones[[#This Row],[semana]]&amp;"|"&amp;tblAsignaciones[[#This Row],[dia]]&amp;"|"&amp;tblAsignaciones[[#This Row],[tecnico]]</f>
        <v/>
      </c>
      <c r="N443" s="3">
        <f>_xlfn.XLOOKUP(tblAsignaciones[[#This Row],[turno]],tblTurnos[turno],tblTurnos[hora_inicio],"")</f>
        <v/>
      </c>
      <c r="O443" s="3">
        <f>_xlfn.XLOOKUP(tblAsignaciones[[#This Row],[turno]],tblTurnos[turno],tblTurnos[hora_fin],"")</f>
        <v/>
      </c>
    </row>
    <row r="444">
      <c r="A444" s="3" t="inlineStr">
        <is>
          <t>2026-S32</t>
        </is>
      </c>
      <c r="B444" s="3" t="inlineStr">
        <is>
          <t>domingo</t>
        </is>
      </c>
      <c r="C444" s="3" t="inlineStr">
        <is>
          <t>Técnico 15</t>
        </is>
      </c>
      <c r="D444" s="3">
        <f>_xlfn.XLOOKUP(tblAsignaciones[[#This Row],[tecnico]],tblTecnicos[nombre],tblTecnicos[area],"")</f>
        <v/>
      </c>
      <c r="E444" s="3">
        <f>_xlfn.XLOOKUP(tblAsignaciones[[#This Row],[tecnico]],tblTecnicos[nombre],tblTecnicos[especialidad],"")</f>
        <v/>
      </c>
      <c r="F444" s="3">
        <f>COUNTIFS(tblTecnicos[rotativo],"SI",tblTecnicos[especialidad],tblAsignaciones[[#This Row],[especialidad]],tblTecnicos[area],tblAsignaciones[[#This Row],[area]])</f>
        <v/>
      </c>
      <c r="G4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6" t="n"/>
      <c r="I444" s="3">
        <f>IF(tblAsignaciones[[#This Row],[turno_manual]]&lt;&gt;"",tblAsignaciones[[#This Row],[turno_manual]],IF(LEFT(tblAsignaciones[[#This Row],[posicion_ciclo]],1)="B","B",tblAsignaciones[[#This Row],[posicion_ciclo]]))</f>
        <v/>
      </c>
      <c r="J444" s="3">
        <f>_xlfn.XLOOKUP(tblAsignaciones[[#This Row],[tecnico]],tblTecnicos[nombre],tblTecnicos[coordinador],"")</f>
        <v/>
      </c>
      <c r="K4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4" s="3">
        <f>tblAsignaciones[[#This Row],[semana]]&amp;"|"&amp;tblAsignaciones[[#This Row],[dia]]&amp;"|"&amp;tblAsignaciones[[#This Row],[tecnico]]</f>
        <v/>
      </c>
      <c r="N444" s="3">
        <f>_xlfn.XLOOKUP(tblAsignaciones[[#This Row],[turno]],tblTurnos[turno],tblTurnos[hora_inicio],"")</f>
        <v/>
      </c>
      <c r="O444" s="3">
        <f>_xlfn.XLOOKUP(tblAsignaciones[[#This Row],[turno]],tblTurnos[turno],tblTurnos[hora_fin],"")</f>
        <v/>
      </c>
    </row>
    <row r="445">
      <c r="A445" s="3" t="inlineStr">
        <is>
          <t>2026-S32</t>
        </is>
      </c>
      <c r="B445" s="3" t="inlineStr">
        <is>
          <t>lunes</t>
        </is>
      </c>
      <c r="C445" s="3" t="inlineStr">
        <is>
          <t>Técnico 16</t>
        </is>
      </c>
      <c r="D445" s="3">
        <f>_xlfn.XLOOKUP(tblAsignaciones[[#This Row],[tecnico]],tblTecnicos[nombre],tblTecnicos[area],"")</f>
        <v/>
      </c>
      <c r="E445" s="3">
        <f>_xlfn.XLOOKUP(tblAsignaciones[[#This Row],[tecnico]],tblTecnicos[nombre],tblTecnicos[especialidad],"")</f>
        <v/>
      </c>
      <c r="F445" s="3">
        <f>COUNTIFS(tblTecnicos[rotativo],"SI",tblTecnicos[especialidad],tblAsignaciones[[#This Row],[especialidad]],tblTecnicos[area],tblAsignaciones[[#This Row],[area]])</f>
        <v/>
      </c>
      <c r="G4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6" t="n"/>
      <c r="I445" s="3">
        <f>IF(tblAsignaciones[[#This Row],[turno_manual]]&lt;&gt;"",tblAsignaciones[[#This Row],[turno_manual]],IF(LEFT(tblAsignaciones[[#This Row],[posicion_ciclo]],1)="B","B",tblAsignaciones[[#This Row],[posicion_ciclo]]))</f>
        <v/>
      </c>
      <c r="J445" s="3">
        <f>_xlfn.XLOOKUP(tblAsignaciones[[#This Row],[tecnico]],tblTecnicos[nombre],tblTecnicos[coordinador],"")</f>
        <v/>
      </c>
      <c r="K4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5" s="3">
        <f>tblAsignaciones[[#This Row],[semana]]&amp;"|"&amp;tblAsignaciones[[#This Row],[dia]]&amp;"|"&amp;tblAsignaciones[[#This Row],[tecnico]]</f>
        <v/>
      </c>
      <c r="N445" s="3">
        <f>_xlfn.XLOOKUP(tblAsignaciones[[#This Row],[turno]],tblTurnos[turno],tblTurnos[hora_inicio],"")</f>
        <v/>
      </c>
      <c r="O445" s="3">
        <f>_xlfn.XLOOKUP(tblAsignaciones[[#This Row],[turno]],tblTurnos[turno],tblTurnos[hora_fin],"")</f>
        <v/>
      </c>
    </row>
    <row r="446">
      <c r="A446" s="3" t="inlineStr">
        <is>
          <t>2026-S32</t>
        </is>
      </c>
      <c r="B446" s="3" t="inlineStr">
        <is>
          <t>martes</t>
        </is>
      </c>
      <c r="C446" s="3" t="inlineStr">
        <is>
          <t>Técnico 16</t>
        </is>
      </c>
      <c r="D446" s="3">
        <f>_xlfn.XLOOKUP(tblAsignaciones[[#This Row],[tecnico]],tblTecnicos[nombre],tblTecnicos[area],"")</f>
        <v/>
      </c>
      <c r="E446" s="3">
        <f>_xlfn.XLOOKUP(tblAsignaciones[[#This Row],[tecnico]],tblTecnicos[nombre],tblTecnicos[especialidad],"")</f>
        <v/>
      </c>
      <c r="F446" s="3">
        <f>COUNTIFS(tblTecnicos[rotativo],"SI",tblTecnicos[especialidad],tblAsignaciones[[#This Row],[especialidad]],tblTecnicos[area],tblAsignaciones[[#This Row],[area]])</f>
        <v/>
      </c>
      <c r="G4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6" t="n"/>
      <c r="I446" s="3">
        <f>IF(tblAsignaciones[[#This Row],[turno_manual]]&lt;&gt;"",tblAsignaciones[[#This Row],[turno_manual]],IF(LEFT(tblAsignaciones[[#This Row],[posicion_ciclo]],1)="B","B",tblAsignaciones[[#This Row],[posicion_ciclo]]))</f>
        <v/>
      </c>
      <c r="J446" s="3">
        <f>_xlfn.XLOOKUP(tblAsignaciones[[#This Row],[tecnico]],tblTecnicos[nombre],tblTecnicos[coordinador],"")</f>
        <v/>
      </c>
      <c r="K4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6" s="3">
        <f>tblAsignaciones[[#This Row],[semana]]&amp;"|"&amp;tblAsignaciones[[#This Row],[dia]]&amp;"|"&amp;tblAsignaciones[[#This Row],[tecnico]]</f>
        <v/>
      </c>
      <c r="N446" s="3">
        <f>_xlfn.XLOOKUP(tblAsignaciones[[#This Row],[turno]],tblTurnos[turno],tblTurnos[hora_inicio],"")</f>
        <v/>
      </c>
      <c r="O446" s="3">
        <f>_xlfn.XLOOKUP(tblAsignaciones[[#This Row],[turno]],tblTurnos[turno],tblTurnos[hora_fin],"")</f>
        <v/>
      </c>
    </row>
    <row r="447">
      <c r="A447" s="3" t="inlineStr">
        <is>
          <t>2026-S32</t>
        </is>
      </c>
      <c r="B447" s="3" t="inlineStr">
        <is>
          <t>miércoles</t>
        </is>
      </c>
      <c r="C447" s="3" t="inlineStr">
        <is>
          <t>Técnico 16</t>
        </is>
      </c>
      <c r="D447" s="3">
        <f>_xlfn.XLOOKUP(tblAsignaciones[[#This Row],[tecnico]],tblTecnicos[nombre],tblTecnicos[area],"")</f>
        <v/>
      </c>
      <c r="E447" s="3">
        <f>_xlfn.XLOOKUP(tblAsignaciones[[#This Row],[tecnico]],tblTecnicos[nombre],tblTecnicos[especialidad],"")</f>
        <v/>
      </c>
      <c r="F447" s="3">
        <f>COUNTIFS(tblTecnicos[rotativo],"SI",tblTecnicos[especialidad],tblAsignaciones[[#This Row],[especialidad]],tblTecnicos[area],tblAsignaciones[[#This Row],[area]])</f>
        <v/>
      </c>
      <c r="G4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6" t="n"/>
      <c r="I447" s="3">
        <f>IF(tblAsignaciones[[#This Row],[turno_manual]]&lt;&gt;"",tblAsignaciones[[#This Row],[turno_manual]],IF(LEFT(tblAsignaciones[[#This Row],[posicion_ciclo]],1)="B","B",tblAsignaciones[[#This Row],[posicion_ciclo]]))</f>
        <v/>
      </c>
      <c r="J447" s="3">
        <f>_xlfn.XLOOKUP(tblAsignaciones[[#This Row],[tecnico]],tblTecnicos[nombre],tblTecnicos[coordinador],"")</f>
        <v/>
      </c>
      <c r="K4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7" s="3">
        <f>tblAsignaciones[[#This Row],[semana]]&amp;"|"&amp;tblAsignaciones[[#This Row],[dia]]&amp;"|"&amp;tblAsignaciones[[#This Row],[tecnico]]</f>
        <v/>
      </c>
      <c r="N447" s="3">
        <f>_xlfn.XLOOKUP(tblAsignaciones[[#This Row],[turno]],tblTurnos[turno],tblTurnos[hora_inicio],"")</f>
        <v/>
      </c>
      <c r="O447" s="3">
        <f>_xlfn.XLOOKUP(tblAsignaciones[[#This Row],[turno]],tblTurnos[turno],tblTurnos[hora_fin],"")</f>
        <v/>
      </c>
    </row>
    <row r="448">
      <c r="A448" s="3" t="inlineStr">
        <is>
          <t>2026-S32</t>
        </is>
      </c>
      <c r="B448" s="3" t="inlineStr">
        <is>
          <t>jueves</t>
        </is>
      </c>
      <c r="C448" s="3" t="inlineStr">
        <is>
          <t>Técnico 16</t>
        </is>
      </c>
      <c r="D448" s="3">
        <f>_xlfn.XLOOKUP(tblAsignaciones[[#This Row],[tecnico]],tblTecnicos[nombre],tblTecnicos[area],"")</f>
        <v/>
      </c>
      <c r="E448" s="3">
        <f>_xlfn.XLOOKUP(tblAsignaciones[[#This Row],[tecnico]],tblTecnicos[nombre],tblTecnicos[especialidad],"")</f>
        <v/>
      </c>
      <c r="F448" s="3">
        <f>COUNTIFS(tblTecnicos[rotativo],"SI",tblTecnicos[especialidad],tblAsignaciones[[#This Row],[especialidad]],tblTecnicos[area],tblAsignaciones[[#This Row],[area]])</f>
        <v/>
      </c>
      <c r="G4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6" t="n"/>
      <c r="I448" s="3">
        <f>IF(tblAsignaciones[[#This Row],[turno_manual]]&lt;&gt;"",tblAsignaciones[[#This Row],[turno_manual]],IF(LEFT(tblAsignaciones[[#This Row],[posicion_ciclo]],1)="B","B",tblAsignaciones[[#This Row],[posicion_ciclo]]))</f>
        <v/>
      </c>
      <c r="J448" s="3">
        <f>_xlfn.XLOOKUP(tblAsignaciones[[#This Row],[tecnico]],tblTecnicos[nombre],tblTecnicos[coordinador],"")</f>
        <v/>
      </c>
      <c r="K4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8" s="3">
        <f>tblAsignaciones[[#This Row],[semana]]&amp;"|"&amp;tblAsignaciones[[#This Row],[dia]]&amp;"|"&amp;tblAsignaciones[[#This Row],[tecnico]]</f>
        <v/>
      </c>
      <c r="N448" s="3">
        <f>_xlfn.XLOOKUP(tblAsignaciones[[#This Row],[turno]],tblTurnos[turno],tblTurnos[hora_inicio],"")</f>
        <v/>
      </c>
      <c r="O448" s="3">
        <f>_xlfn.XLOOKUP(tblAsignaciones[[#This Row],[turno]],tblTurnos[turno],tblTurnos[hora_fin],"")</f>
        <v/>
      </c>
    </row>
    <row r="449">
      <c r="A449" s="3" t="inlineStr">
        <is>
          <t>2026-S32</t>
        </is>
      </c>
      <c r="B449" s="3" t="inlineStr">
        <is>
          <t>viernes</t>
        </is>
      </c>
      <c r="C449" s="3" t="inlineStr">
        <is>
          <t>Técnico 16</t>
        </is>
      </c>
      <c r="D449" s="3">
        <f>_xlfn.XLOOKUP(tblAsignaciones[[#This Row],[tecnico]],tblTecnicos[nombre],tblTecnicos[area],"")</f>
        <v/>
      </c>
      <c r="E449" s="3">
        <f>_xlfn.XLOOKUP(tblAsignaciones[[#This Row],[tecnico]],tblTecnicos[nombre],tblTecnicos[especialidad],"")</f>
        <v/>
      </c>
      <c r="F449" s="3">
        <f>COUNTIFS(tblTecnicos[rotativo],"SI",tblTecnicos[especialidad],tblAsignaciones[[#This Row],[especialidad]],tblTecnicos[area],tblAsignaciones[[#This Row],[area]])</f>
        <v/>
      </c>
      <c r="G4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6" t="n"/>
      <c r="I449" s="3">
        <f>IF(tblAsignaciones[[#This Row],[turno_manual]]&lt;&gt;"",tblAsignaciones[[#This Row],[turno_manual]],IF(LEFT(tblAsignaciones[[#This Row],[posicion_ciclo]],1)="B","B",tblAsignaciones[[#This Row],[posicion_ciclo]]))</f>
        <v/>
      </c>
      <c r="J449" s="3">
        <f>_xlfn.XLOOKUP(tblAsignaciones[[#This Row],[tecnico]],tblTecnicos[nombre],tblTecnicos[coordinador],"")</f>
        <v/>
      </c>
      <c r="K4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49" s="3">
        <f>tblAsignaciones[[#This Row],[semana]]&amp;"|"&amp;tblAsignaciones[[#This Row],[dia]]&amp;"|"&amp;tblAsignaciones[[#This Row],[tecnico]]</f>
        <v/>
      </c>
      <c r="N449" s="3">
        <f>_xlfn.XLOOKUP(tblAsignaciones[[#This Row],[turno]],tblTurnos[turno],tblTurnos[hora_inicio],"")</f>
        <v/>
      </c>
      <c r="O449" s="3">
        <f>_xlfn.XLOOKUP(tblAsignaciones[[#This Row],[turno]],tblTurnos[turno],tblTurnos[hora_fin],"")</f>
        <v/>
      </c>
    </row>
    <row r="450">
      <c r="A450" s="3" t="inlineStr">
        <is>
          <t>2026-S32</t>
        </is>
      </c>
      <c r="B450" s="3" t="inlineStr">
        <is>
          <t>sábado</t>
        </is>
      </c>
      <c r="C450" s="3" t="inlineStr">
        <is>
          <t>Técnico 16</t>
        </is>
      </c>
      <c r="D450" s="3">
        <f>_xlfn.XLOOKUP(tblAsignaciones[[#This Row],[tecnico]],tblTecnicos[nombre],tblTecnicos[area],"")</f>
        <v/>
      </c>
      <c r="E450" s="3">
        <f>_xlfn.XLOOKUP(tblAsignaciones[[#This Row],[tecnico]],tblTecnicos[nombre],tblTecnicos[especialidad],"")</f>
        <v/>
      </c>
      <c r="F450" s="3">
        <f>COUNTIFS(tblTecnicos[rotativo],"SI",tblTecnicos[especialidad],tblAsignaciones[[#This Row],[especialidad]],tblTecnicos[area],tblAsignaciones[[#This Row],[area]])</f>
        <v/>
      </c>
      <c r="G4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6" t="n"/>
      <c r="I450" s="3">
        <f>IF(tblAsignaciones[[#This Row],[turno_manual]]&lt;&gt;"",tblAsignaciones[[#This Row],[turno_manual]],IF(LEFT(tblAsignaciones[[#This Row],[posicion_ciclo]],1)="B","B",tblAsignaciones[[#This Row],[posicion_ciclo]]))</f>
        <v/>
      </c>
      <c r="J450" s="3">
        <f>_xlfn.XLOOKUP(tblAsignaciones[[#This Row],[tecnico]],tblTecnicos[nombre],tblTecnicos[coordinador],"")</f>
        <v/>
      </c>
      <c r="K4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50" s="3">
        <f>tblAsignaciones[[#This Row],[semana]]&amp;"|"&amp;tblAsignaciones[[#This Row],[dia]]&amp;"|"&amp;tblAsignaciones[[#This Row],[tecnico]]</f>
        <v/>
      </c>
      <c r="N450" s="3">
        <f>_xlfn.XLOOKUP(tblAsignaciones[[#This Row],[turno]],tblTurnos[turno],tblTurnos[hora_inicio],"")</f>
        <v/>
      </c>
      <c r="O450" s="3">
        <f>_xlfn.XLOOKUP(tblAsignaciones[[#This Row],[turno]],tblTurnos[turno],tblTurnos[hora_fin],"")</f>
        <v/>
      </c>
    </row>
    <row r="451">
      <c r="A451" s="3" t="inlineStr">
        <is>
          <t>2026-S32</t>
        </is>
      </c>
      <c r="B451" s="3" t="inlineStr">
        <is>
          <t>domingo</t>
        </is>
      </c>
      <c r="C451" s="3" t="inlineStr">
        <is>
          <t>Técnico 16</t>
        </is>
      </c>
      <c r="D451" s="3">
        <f>_xlfn.XLOOKUP(tblAsignaciones[[#This Row],[tecnico]],tblTecnicos[nombre],tblTecnicos[area],"")</f>
        <v/>
      </c>
      <c r="E451" s="3">
        <f>_xlfn.XLOOKUP(tblAsignaciones[[#This Row],[tecnico]],tblTecnicos[nombre],tblTecnicos[especialidad],"")</f>
        <v/>
      </c>
      <c r="F451" s="3">
        <f>COUNTIFS(tblTecnicos[rotativo],"SI",tblTecnicos[especialidad],tblAsignaciones[[#This Row],[especialidad]],tblTecnicos[area],tblAsignaciones[[#This Row],[area]])</f>
        <v/>
      </c>
      <c r="G4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6" t="n"/>
      <c r="I451" s="3">
        <f>IF(tblAsignaciones[[#This Row],[turno_manual]]&lt;&gt;"",tblAsignaciones[[#This Row],[turno_manual]],IF(LEFT(tblAsignaciones[[#This Row],[posicion_ciclo]],1)="B","B",tblAsignaciones[[#This Row],[posicion_ciclo]]))</f>
        <v/>
      </c>
      <c r="J451" s="3">
        <f>_xlfn.XLOOKUP(tblAsignaciones[[#This Row],[tecnico]],tblTecnicos[nombre],tblTecnicos[coordinador],"")</f>
        <v/>
      </c>
      <c r="K4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L4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M451" s="3">
        <f>tblAsignaciones[[#This Row],[semana]]&amp;"|"&amp;tblAsignaciones[[#This Row],[dia]]&amp;"|"&amp;tblAsignaciones[[#This Row],[tecnico]]</f>
        <v/>
      </c>
      <c r="N451" s="3">
        <f>_xlfn.XLOOKUP(tblAsignaciones[[#This Row],[turno]],tblTurnos[turno],tblTurnos[hora_inicio],"")</f>
        <v/>
      </c>
      <c r="O451" s="3">
        <f>_xlfn.XLOOKUP(tblAsignaciones[[#This Row],[turno]],tblTurnos[turno],tblTurnos[hora_fin],"")</f>
        <v/>
      </c>
    </row>
  </sheetData>
  <dataValidations count="1">
    <dataValidation sqref="H4:H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46226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46226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46226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46226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5" t="n"/>
      <c r="C8" s="6" t="n"/>
      <c r="D8" s="8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5" t="n"/>
      <c r="C9" s="6" t="n"/>
      <c r="D9" s="8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5" t="n"/>
      <c r="C10" s="6" t="n"/>
      <c r="D10" s="8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5" t="n"/>
      <c r="C11" s="6" t="n"/>
      <c r="D11" s="8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5" t="n"/>
      <c r="C12" s="6" t="n"/>
      <c r="D12" s="8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5" t="n"/>
      <c r="C13" s="6" t="n"/>
      <c r="D13" s="8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5" t="n"/>
      <c r="C14" s="6" t="n"/>
      <c r="D14" s="8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5" t="n"/>
      <c r="C15" s="6" t="n"/>
      <c r="D15" s="8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5" t="n"/>
      <c r="C16" s="6" t="n"/>
      <c r="D16" s="8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5" t="n"/>
      <c r="C17" s="6" t="n"/>
      <c r="D17" s="8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5" t="n"/>
      <c r="C18" s="6" t="n"/>
      <c r="D18" s="8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5" t="n"/>
      <c r="C19" s="6" t="n"/>
      <c r="D19" s="8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5" t="n"/>
      <c r="C20" s="6" t="n"/>
      <c r="D20" s="8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5" t="n"/>
      <c r="C21" s="6" t="n"/>
      <c r="D21" s="8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5" t="n"/>
      <c r="C22" s="6" t="n"/>
      <c r="D22" s="8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5" t="n"/>
      <c r="C23" s="6" t="n"/>
      <c r="D23" s="8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5" t="n"/>
      <c r="C24" s="6" t="n"/>
      <c r="D24" s="8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5" t="n"/>
      <c r="C25" s="6" t="n"/>
      <c r="D25" s="8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5" t="n"/>
      <c r="C26" s="6" t="n"/>
      <c r="D26" s="8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5" t="n"/>
      <c r="C27" s="6" t="n"/>
      <c r="D27" s="8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5" t="n"/>
      <c r="C28" s="6" t="n"/>
      <c r="D28" s="8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5" t="n"/>
      <c r="C29" s="6" t="n"/>
      <c r="D29" s="8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5" t="n"/>
      <c r="C30" s="6" t="n"/>
      <c r="D30" s="8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5" t="n"/>
      <c r="C31" s="6" t="n"/>
      <c r="D31" s="8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5" t="n"/>
      <c r="C32" s="6" t="n"/>
      <c r="D32" s="8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5" t="n"/>
      <c r="C33" s="6" t="n"/>
      <c r="D33" s="8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5" t="n"/>
      <c r="C34" s="6" t="n"/>
      <c r="D34" s="8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5" t="n"/>
      <c r="C35" s="6" t="n"/>
      <c r="D35" s="8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5" t="n"/>
      <c r="C36" s="6" t="n"/>
      <c r="D36" s="8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5" t="n"/>
      <c r="C37" s="6" t="n"/>
      <c r="D37" s="8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5" t="n"/>
      <c r="C38" s="6" t="n"/>
      <c r="D38" s="8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5" t="n"/>
      <c r="C39" s="6" t="n"/>
      <c r="D39" s="8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5" t="n"/>
      <c r="C40" s="6" t="n"/>
      <c r="D40" s="8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5" t="n"/>
      <c r="C41" s="6" t="n"/>
      <c r="D41" s="8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5" t="n"/>
      <c r="C42" s="6" t="n"/>
      <c r="D42" s="8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5" t="n"/>
      <c r="C43" s="6" t="n"/>
      <c r="D43" s="8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5" t="n"/>
      <c r="C44" s="6" t="n"/>
      <c r="D44" s="8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5" t="n"/>
      <c r="C45" s="6" t="n"/>
      <c r="D45" s="8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5" t="n"/>
      <c r="C46" s="6" t="n"/>
      <c r="D46" s="8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5" t="n"/>
      <c r="C47" s="6" t="n"/>
      <c r="D47" s="8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5" t="n"/>
      <c r="C48" s="6" t="n"/>
      <c r="D48" s="8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5" t="n"/>
      <c r="C49" s="6" t="n"/>
      <c r="D49" s="8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5" t="n"/>
      <c r="C50" s="6" t="n"/>
      <c r="D50" s="8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5" t="n"/>
      <c r="C51" s="6" t="n"/>
      <c r="D51" s="8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5" t="n"/>
      <c r="C52" s="6" t="n"/>
      <c r="D52" s="8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5" t="n"/>
      <c r="C53" s="6" t="n"/>
      <c r="D53" s="8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5" t="n"/>
      <c r="C54" s="6" t="n"/>
      <c r="D54" s="8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5" t="n"/>
      <c r="C55" s="6" t="n"/>
      <c r="D55" s="8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5" t="n"/>
      <c r="C56" s="6" t="n"/>
      <c r="D56" s="8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5" t="n"/>
      <c r="C57" s="6" t="n"/>
      <c r="D57" s="8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5" t="n"/>
      <c r="C58" s="6" t="n"/>
      <c r="D58" s="8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5" t="n"/>
      <c r="C59" s="6" t="n"/>
      <c r="D59" s="8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5" t="n"/>
      <c r="C60" s="6" t="n"/>
      <c r="D60" s="8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5" t="n"/>
      <c r="C61" s="6" t="n"/>
      <c r="D61" s="8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5" t="n"/>
      <c r="C62" s="6" t="n"/>
      <c r="D62" s="8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5" t="n"/>
      <c r="C63" s="6" t="n"/>
      <c r="D63" s="8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5" t="n"/>
      <c r="C64" s="6" t="n"/>
      <c r="D64" s="8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5" t="n"/>
      <c r="C65" s="6" t="n"/>
      <c r="D65" s="8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5" t="n"/>
      <c r="C66" s="6" t="n"/>
      <c r="D66" s="8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5" t="n"/>
      <c r="C67" s="6" t="n"/>
      <c r="D67" s="8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5" t="n"/>
      <c r="C68" s="6" t="n"/>
      <c r="D68" s="8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5" t="n"/>
      <c r="C69" s="6" t="n"/>
      <c r="D69" s="8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5" t="n"/>
      <c r="C70" s="6" t="n"/>
      <c r="D70" s="8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5" t="n"/>
      <c r="C71" s="6" t="n"/>
      <c r="D71" s="8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5" t="n"/>
      <c r="C72" s="6" t="n"/>
      <c r="D72" s="8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5" t="n"/>
      <c r="C73" s="6" t="n"/>
      <c r="D73" s="8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5" t="n"/>
      <c r="C74" s="6" t="n"/>
      <c r="D74" s="8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5" t="n"/>
      <c r="C75" s="6" t="n"/>
      <c r="D75" s="8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5" t="n"/>
      <c r="C76" s="6" t="n"/>
      <c r="D76" s="8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5" t="n"/>
      <c r="C77" s="6" t="n"/>
      <c r="D77" s="8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5" t="n"/>
      <c r="C78" s="6" t="n"/>
      <c r="D78" s="8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5" t="n"/>
      <c r="C79" s="6" t="n"/>
      <c r="D79" s="8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5" t="n"/>
      <c r="C80" s="6" t="n"/>
      <c r="D80" s="8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5" t="n"/>
      <c r="C81" s="6" t="n"/>
      <c r="D81" s="8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5" t="n"/>
      <c r="C82" s="6" t="n"/>
      <c r="D82" s="8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5" t="n"/>
      <c r="C83" s="6" t="n"/>
      <c r="D83" s="8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5" t="n"/>
      <c r="C84" s="6" t="n"/>
      <c r="D84" s="8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5" t="n"/>
      <c r="C85" s="6" t="n"/>
      <c r="D85" s="8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5" t="n"/>
      <c r="C86" s="6" t="n"/>
      <c r="D86" s="8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5" t="n"/>
      <c r="C87" s="6" t="n"/>
      <c r="D87" s="8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5" t="n"/>
      <c r="C88" s="6" t="n"/>
      <c r="D88" s="8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5" t="n"/>
      <c r="C89" s="6" t="n"/>
      <c r="D89" s="8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5" t="n"/>
      <c r="C90" s="6" t="n"/>
      <c r="D90" s="8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5" t="n"/>
      <c r="C91" s="6" t="n"/>
      <c r="D91" s="8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5" t="n"/>
      <c r="C92" s="6" t="n"/>
      <c r="D92" s="8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5" t="n"/>
      <c r="C93" s="6" t="n"/>
      <c r="D93" s="8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5" t="n"/>
      <c r="C94" s="6" t="n"/>
      <c r="D94" s="8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5" t="n"/>
      <c r="C95" s="6" t="n"/>
      <c r="D95" s="8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5" t="n"/>
      <c r="C96" s="6" t="n"/>
      <c r="D96" s="8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5" t="n"/>
      <c r="C97" s="6" t="n"/>
      <c r="D97" s="8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5" t="n"/>
      <c r="C98" s="6" t="n"/>
      <c r="D98" s="8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5" t="n"/>
      <c r="C99" s="6" t="n"/>
      <c r="D99" s="8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5" t="n"/>
      <c r="C100" s="6" t="n"/>
      <c r="D100" s="8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5" t="n"/>
      <c r="C101" s="6" t="n"/>
      <c r="D101" s="8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5" t="n"/>
      <c r="C102" s="6" t="n"/>
      <c r="D102" s="8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5" t="n"/>
      <c r="C103" s="6" t="n"/>
      <c r="D103" s="8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5" t="n"/>
      <c r="C104" s="6" t="n"/>
      <c r="D104" s="8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5" t="n"/>
      <c r="C105" s="6" t="n"/>
      <c r="D105" s="8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5" t="n"/>
      <c r="C106" s="6" t="n"/>
      <c r="D106" s="8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5" t="n"/>
      <c r="C107" s="6" t="n"/>
      <c r="D107" s="8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5" t="n"/>
      <c r="C108" s="6" t="n"/>
      <c r="D108" s="8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5" t="n"/>
      <c r="C109" s="6" t="n"/>
      <c r="D109" s="8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5" t="n"/>
      <c r="C110" s="6" t="n"/>
      <c r="D110" s="8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5" t="n"/>
      <c r="C111" s="6" t="n"/>
      <c r="D111" s="8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5" t="n"/>
      <c r="C112" s="6" t="n"/>
      <c r="D112" s="8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5" t="n"/>
      <c r="C113" s="6" t="n"/>
      <c r="D113" s="8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5" t="n"/>
      <c r="C114" s="6" t="n"/>
      <c r="D114" s="8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5" t="n"/>
      <c r="C115" s="6" t="n"/>
      <c r="D115" s="8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5" t="n"/>
      <c r="C116" s="6" t="n"/>
      <c r="D116" s="8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5" t="n"/>
      <c r="C117" s="6" t="n"/>
      <c r="D117" s="8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5" t="n"/>
      <c r="C118" s="6" t="n"/>
      <c r="D118" s="8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5" t="n"/>
      <c r="C119" s="6" t="n"/>
      <c r="D119" s="8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5" t="n"/>
      <c r="C120" s="6" t="n"/>
      <c r="D120" s="8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5" t="n"/>
      <c r="C121" s="6" t="n"/>
      <c r="D121" s="8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5" t="n"/>
      <c r="C122" s="6" t="n"/>
      <c r="D122" s="8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5" t="n"/>
      <c r="C123" s="6" t="n"/>
      <c r="D123" s="8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5" t="n"/>
      <c r="C124" s="6" t="n"/>
      <c r="D124" s="8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5" t="n"/>
      <c r="C125" s="6" t="n"/>
      <c r="D125" s="8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5" t="n"/>
      <c r="C126" s="6" t="n"/>
      <c r="D126" s="8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5" t="n"/>
      <c r="C127" s="6" t="n"/>
      <c r="D127" s="8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5" t="n"/>
      <c r="C128" s="6" t="n"/>
      <c r="D128" s="8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5" t="n"/>
      <c r="C129" s="6" t="n"/>
      <c r="D129" s="8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5" t="n"/>
      <c r="C130" s="6" t="n"/>
      <c r="D130" s="8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5" t="n"/>
      <c r="C131" s="6" t="n"/>
      <c r="D131" s="8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5" t="n"/>
      <c r="C132" s="6" t="n"/>
      <c r="D132" s="8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5" t="n"/>
      <c r="C133" s="6" t="n"/>
      <c r="D133" s="8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5" t="n"/>
      <c r="C134" s="6" t="n"/>
      <c r="D134" s="8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5" t="n"/>
      <c r="C135" s="6" t="n"/>
      <c r="D135" s="8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5" t="n"/>
      <c r="C136" s="6" t="n"/>
      <c r="D136" s="8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5" t="n"/>
      <c r="C137" s="6" t="n"/>
      <c r="D137" s="8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5" t="n"/>
      <c r="C138" s="6" t="n"/>
      <c r="D138" s="8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5" t="n"/>
      <c r="C139" s="6" t="n"/>
      <c r="D139" s="8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5" t="n"/>
      <c r="C140" s="6" t="n"/>
      <c r="D140" s="8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5" t="n"/>
      <c r="C141" s="6" t="n"/>
      <c r="D141" s="8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5" t="n"/>
      <c r="C142" s="6" t="n"/>
      <c r="D142" s="8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5" t="n"/>
      <c r="C143" s="6" t="n"/>
      <c r="D143" s="8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5" t="n"/>
      <c r="C144" s="6" t="n"/>
      <c r="D144" s="8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5" t="n"/>
      <c r="C145" s="6" t="n"/>
      <c r="D145" s="8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5" t="n"/>
      <c r="C146" s="6" t="n"/>
      <c r="D146" s="8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5" t="n"/>
      <c r="C147" s="6" t="n"/>
      <c r="D147" s="8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5" t="n"/>
      <c r="C148" s="6" t="n"/>
      <c r="D148" s="8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5" t="n"/>
      <c r="C149" s="6" t="n"/>
      <c r="D149" s="8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5" t="n"/>
      <c r="C150" s="6" t="n"/>
      <c r="D150" s="8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5" t="n"/>
      <c r="C151" s="6" t="n"/>
      <c r="D151" s="8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5" t="n"/>
      <c r="C152" s="6" t="n"/>
      <c r="D152" s="8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5" t="n"/>
      <c r="C153" s="6" t="n"/>
      <c r="D153" s="8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5" t="n"/>
      <c r="C154" s="6" t="n"/>
      <c r="D154" s="8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5" t="n"/>
      <c r="C155" s="6" t="n"/>
      <c r="D155" s="8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5" t="n"/>
      <c r="C156" s="6" t="n"/>
      <c r="D156" s="8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5" t="n"/>
      <c r="C157" s="6" t="n"/>
      <c r="D157" s="8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5" t="n"/>
      <c r="C158" s="6" t="n"/>
      <c r="D158" s="8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5" t="n"/>
      <c r="C159" s="6" t="n"/>
      <c r="D159" s="8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5" t="n"/>
      <c r="C160" s="6" t="n"/>
      <c r="D160" s="8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5" t="n"/>
      <c r="C161" s="6" t="n"/>
      <c r="D161" s="8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5" t="n"/>
      <c r="C162" s="6" t="n"/>
      <c r="D162" s="8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5" t="n"/>
      <c r="C163" s="6" t="n"/>
      <c r="D163" s="8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5" t="n"/>
      <c r="C164" s="6" t="n"/>
      <c r="D164" s="8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5" t="n"/>
      <c r="C165" s="6" t="n"/>
      <c r="D165" s="8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5" t="n"/>
      <c r="C166" s="6" t="n"/>
      <c r="D166" s="8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5" t="n"/>
      <c r="C167" s="6" t="n"/>
      <c r="D167" s="8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5" t="n"/>
      <c r="C168" s="6" t="n"/>
      <c r="D168" s="8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5" t="n"/>
      <c r="C169" s="6" t="n"/>
      <c r="D169" s="8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5" t="n"/>
      <c r="C170" s="6" t="n"/>
      <c r="D170" s="8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5" t="n"/>
      <c r="C171" s="6" t="n"/>
      <c r="D171" s="8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5" t="n"/>
      <c r="C172" s="6" t="n"/>
      <c r="D172" s="8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5" t="n"/>
      <c r="C173" s="6" t="n"/>
      <c r="D173" s="8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5" t="n"/>
      <c r="C174" s="6" t="n"/>
      <c r="D174" s="8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5" t="n"/>
      <c r="C175" s="6" t="n"/>
      <c r="D175" s="8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5" t="n"/>
      <c r="C176" s="6" t="n"/>
      <c r="D176" s="8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5" t="n"/>
      <c r="C177" s="6" t="n"/>
      <c r="D177" s="8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5" t="n"/>
      <c r="C178" s="6" t="n"/>
      <c r="D178" s="8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5" t="n"/>
      <c r="C179" s="6" t="n"/>
      <c r="D179" s="8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5" t="n"/>
      <c r="C180" s="6" t="n"/>
      <c r="D180" s="8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5" t="n"/>
      <c r="C181" s="6" t="n"/>
      <c r="D181" s="8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5" t="n"/>
      <c r="C182" s="6" t="n"/>
      <c r="D182" s="8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5" t="n"/>
      <c r="C183" s="6" t="n"/>
      <c r="D183" s="8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5" t="n"/>
      <c r="C184" s="6" t="n"/>
      <c r="D184" s="8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5" t="n"/>
      <c r="C185" s="6" t="n"/>
      <c r="D185" s="8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5" t="n"/>
      <c r="C186" s="6" t="n"/>
      <c r="D186" s="8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5" t="n"/>
      <c r="C187" s="6" t="n"/>
      <c r="D187" s="8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5" t="n"/>
      <c r="C188" s="6" t="n"/>
      <c r="D188" s="8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5" t="n"/>
      <c r="C189" s="6" t="n"/>
      <c r="D189" s="8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5" t="n"/>
      <c r="C190" s="6" t="n"/>
      <c r="D190" s="8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5" t="n"/>
      <c r="C191" s="6" t="n"/>
      <c r="D191" s="8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5" t="n"/>
      <c r="C192" s="6" t="n"/>
      <c r="D192" s="8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5" t="n"/>
      <c r="C193" s="6" t="n"/>
      <c r="D193" s="8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5" t="n"/>
      <c r="C194" s="6" t="n"/>
      <c r="D194" s="8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5" t="n"/>
      <c r="C195" s="6" t="n"/>
      <c r="D195" s="8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5" t="n"/>
      <c r="C196" s="6" t="n"/>
      <c r="D196" s="8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5" t="n"/>
      <c r="C197" s="6" t="n"/>
      <c r="D197" s="8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5" t="n"/>
      <c r="C198" s="6" t="n"/>
      <c r="D198" s="8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5" t="n"/>
      <c r="C199" s="6" t="n"/>
      <c r="D199" s="8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5" t="n"/>
      <c r="C200" s="6" t="n"/>
      <c r="D200" s="8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5" t="n"/>
      <c r="C201" s="6" t="n"/>
      <c r="D201" s="8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5" t="n"/>
      <c r="C202" s="6" t="n"/>
      <c r="D202" s="8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5" t="n"/>
      <c r="C203" s="6" t="n"/>
      <c r="D203" s="8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5" t="n"/>
      <c r="C204" s="6" t="n"/>
      <c r="D204" s="8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5" t="n"/>
      <c r="C205" s="6" t="n"/>
      <c r="D205" s="8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5" t="n"/>
      <c r="C206" s="6" t="n"/>
      <c r="D206" s="8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5" t="n"/>
      <c r="C207" s="6" t="n"/>
      <c r="D207" s="8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5" t="n"/>
      <c r="C208" s="6" t="n"/>
      <c r="D208" s="8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5" t="n"/>
      <c r="C209" s="6" t="n"/>
      <c r="D209" s="8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5" t="n"/>
      <c r="C210" s="6" t="n"/>
      <c r="D210" s="8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5" t="n"/>
      <c r="C211" s="6" t="n"/>
      <c r="D211" s="8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5" t="n"/>
      <c r="C212" s="6" t="n"/>
      <c r="D212" s="8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5" t="n"/>
      <c r="C213" s="6" t="n"/>
      <c r="D213" s="8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5" t="n"/>
      <c r="C214" s="6" t="n"/>
      <c r="D214" s="8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5" t="n"/>
      <c r="C215" s="6" t="n"/>
      <c r="D215" s="8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5" t="n"/>
      <c r="C216" s="6" t="n"/>
      <c r="D216" s="8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5" t="n"/>
      <c r="C217" s="6" t="n"/>
      <c r="D217" s="8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5" t="n"/>
      <c r="C218" s="6" t="n"/>
      <c r="D218" s="8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5" t="n"/>
      <c r="C219" s="6" t="n"/>
      <c r="D219" s="8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5" t="n"/>
      <c r="C220" s="6" t="n"/>
      <c r="D220" s="8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5" t="n"/>
      <c r="C221" s="6" t="n"/>
      <c r="D221" s="8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5" t="n"/>
      <c r="C222" s="6" t="n"/>
      <c r="D222" s="8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5" t="n"/>
      <c r="C223" s="6" t="n"/>
      <c r="D223" s="8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5" t="n"/>
      <c r="C224" s="6" t="n"/>
      <c r="D224" s="8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5" t="n"/>
      <c r="C225" s="6" t="n"/>
      <c r="D225" s="8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5" t="n"/>
      <c r="C226" s="6" t="n"/>
      <c r="D226" s="8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5" t="n"/>
      <c r="C227" s="6" t="n"/>
      <c r="D227" s="8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5" t="n"/>
      <c r="C228" s="6" t="n"/>
      <c r="D228" s="8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5" t="n"/>
      <c r="C229" s="6" t="n"/>
      <c r="D229" s="8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5" t="n"/>
      <c r="C230" s="6" t="n"/>
      <c r="D230" s="8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5" t="n"/>
      <c r="C231" s="6" t="n"/>
      <c r="D231" s="8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5" t="n"/>
      <c r="C232" s="6" t="n"/>
      <c r="D232" s="8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5" t="n"/>
      <c r="C233" s="6" t="n"/>
      <c r="D233" s="8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5" t="n"/>
      <c r="C234" s="6" t="n"/>
      <c r="D234" s="8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5" t="n"/>
      <c r="C235" s="6" t="n"/>
      <c r="D235" s="8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5" t="n"/>
      <c r="C236" s="6" t="n"/>
      <c r="D236" s="8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5" t="n"/>
      <c r="C237" s="6" t="n"/>
      <c r="D237" s="8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5" t="n"/>
      <c r="C238" s="6" t="n"/>
      <c r="D238" s="8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5" t="n"/>
      <c r="C239" s="6" t="n"/>
      <c r="D239" s="8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5" t="n"/>
      <c r="C240" s="6" t="n"/>
      <c r="D240" s="8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5" t="n"/>
      <c r="C241" s="6" t="n"/>
      <c r="D241" s="8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5" t="n"/>
      <c r="C242" s="6" t="n"/>
      <c r="D242" s="8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5" t="n"/>
      <c r="C243" s="6" t="n"/>
      <c r="D243" s="8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5" t="n"/>
      <c r="C244" s="6" t="n"/>
      <c r="D244" s="8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5" t="n"/>
      <c r="C245" s="6" t="n"/>
      <c r="D245" s="8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5" t="n"/>
      <c r="C246" s="6" t="n"/>
      <c r="D246" s="8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5" t="n"/>
      <c r="C247" s="6" t="n"/>
      <c r="D247" s="8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5" t="n"/>
      <c r="C248" s="6" t="n"/>
      <c r="D248" s="8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5" t="n"/>
      <c r="C249" s="6" t="n"/>
      <c r="D249" s="8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5" t="n"/>
      <c r="C250" s="6" t="n"/>
      <c r="D250" s="8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5" t="n"/>
      <c r="C251" s="6" t="n"/>
      <c r="D251" s="8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5" t="n"/>
      <c r="C252" s="6" t="n"/>
      <c r="D252" s="8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5" t="n"/>
      <c r="C253" s="6" t="n"/>
      <c r="D253" s="8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5" t="n"/>
      <c r="C254" s="6" t="n"/>
      <c r="D254" s="8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5" t="n"/>
      <c r="C255" s="6" t="n"/>
      <c r="D255" s="8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5" t="n"/>
      <c r="C256" s="6" t="n"/>
      <c r="D256" s="8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5" t="n"/>
      <c r="C257" s="6" t="n"/>
      <c r="D257" s="8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5" t="n"/>
      <c r="C258" s="6" t="n"/>
      <c r="D258" s="8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5" t="n"/>
      <c r="C259" s="6" t="n"/>
      <c r="D259" s="8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5" t="n"/>
      <c r="C260" s="6" t="n"/>
      <c r="D260" s="8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5" t="n"/>
      <c r="C261" s="6" t="n"/>
      <c r="D261" s="8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5" t="n"/>
      <c r="C262" s="6" t="n"/>
      <c r="D262" s="8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5" t="n"/>
      <c r="C263" s="6" t="n"/>
      <c r="D263" s="8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5" t="n"/>
      <c r="C264" s="6" t="n"/>
      <c r="D264" s="8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5" t="n"/>
      <c r="C265" s="6" t="n"/>
      <c r="D265" s="8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5" t="n"/>
      <c r="C266" s="6" t="n"/>
      <c r="D266" s="8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5" t="n"/>
      <c r="C267" s="6" t="n"/>
      <c r="D267" s="8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5" t="n"/>
      <c r="C268" s="6" t="n"/>
      <c r="D268" s="8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5" t="n"/>
      <c r="C269" s="6" t="n"/>
      <c r="D269" s="8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5" t="n"/>
      <c r="C270" s="6" t="n"/>
      <c r="D270" s="8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5" t="n"/>
      <c r="C271" s="6" t="n"/>
      <c r="D271" s="8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5" t="n"/>
      <c r="C272" s="6" t="n"/>
      <c r="D272" s="8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5" t="n"/>
      <c r="C273" s="6" t="n"/>
      <c r="D273" s="8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5" t="n"/>
      <c r="C274" s="6" t="n"/>
      <c r="D274" s="8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5" t="n"/>
      <c r="C275" s="6" t="n"/>
      <c r="D275" s="8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5" t="n"/>
      <c r="C276" s="6" t="n"/>
      <c r="D276" s="8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5" t="n"/>
      <c r="C277" s="6" t="n"/>
      <c r="D277" s="8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5" t="n"/>
      <c r="C278" s="6" t="n"/>
      <c r="D278" s="8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5" t="n"/>
      <c r="C279" s="6" t="n"/>
      <c r="D279" s="8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5" t="n"/>
      <c r="C280" s="6" t="n"/>
      <c r="D280" s="8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5" t="n"/>
      <c r="C281" s="6" t="n"/>
      <c r="D281" s="8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5" t="n"/>
      <c r="C282" s="6" t="n"/>
      <c r="D282" s="8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5" t="n"/>
      <c r="C283" s="6" t="n"/>
      <c r="D283" s="8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5" t="n"/>
      <c r="C284" s="6" t="n"/>
      <c r="D284" s="8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5" t="n"/>
      <c r="C285" s="6" t="n"/>
      <c r="D285" s="8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5" t="n"/>
      <c r="C286" s="6" t="n"/>
      <c r="D286" s="8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5" t="n"/>
      <c r="C287" s="6" t="n"/>
      <c r="D287" s="8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5" t="n"/>
      <c r="C288" s="6" t="n"/>
      <c r="D288" s="8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5" t="n"/>
      <c r="C289" s="6" t="n"/>
      <c r="D289" s="8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5" t="n"/>
      <c r="C290" s="6" t="n"/>
      <c r="D290" s="8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5" t="n"/>
      <c r="C291" s="6" t="n"/>
      <c r="D291" s="8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5" t="n"/>
      <c r="C292" s="6" t="n"/>
      <c r="D292" s="8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5" t="n"/>
      <c r="C293" s="6" t="n"/>
      <c r="D293" s="8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5" t="n"/>
      <c r="C294" s="6" t="n"/>
      <c r="D294" s="8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5" t="n"/>
      <c r="C295" s="6" t="n"/>
      <c r="D295" s="8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5" t="n"/>
      <c r="C296" s="6" t="n"/>
      <c r="D296" s="8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5" t="n"/>
      <c r="C297" s="6" t="n"/>
      <c r="D297" s="8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5" t="n"/>
      <c r="C298" s="6" t="n"/>
      <c r="D298" s="8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5" t="n"/>
      <c r="C299" s="6" t="n"/>
      <c r="D299" s="8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5" t="n"/>
      <c r="C300" s="6" t="n"/>
      <c r="D300" s="8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5" t="n"/>
      <c r="C301" s="6" t="n"/>
      <c r="D301" s="8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5" t="n"/>
      <c r="C302" s="6" t="n"/>
      <c r="D302" s="8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5" t="n"/>
      <c r="C303" s="6" t="n"/>
      <c r="D303" s="8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2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2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2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2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2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2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2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2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2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2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2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2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2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8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2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8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2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8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2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2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2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2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2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2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2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2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2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2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2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2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2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2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2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2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2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2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2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2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2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2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2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2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2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2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2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2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2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2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2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2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2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2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2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2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2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2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2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2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2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2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2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2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2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2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2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2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2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2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2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2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2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2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2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2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2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2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2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2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2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2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2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2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2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2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2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2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2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2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2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2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2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2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2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2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2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2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2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2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2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2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2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2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2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2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2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2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2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2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2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2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2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2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2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2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2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2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2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2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2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2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2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2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2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2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2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2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2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2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2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2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2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2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2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2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2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2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2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2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2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2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2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2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2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2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2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2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2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2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2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2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2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2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2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2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2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2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2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2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2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2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2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2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2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2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2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2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2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2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2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2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2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2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2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2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2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2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2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2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2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2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2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2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2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2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2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2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2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2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2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2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2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2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2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2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2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2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2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2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2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2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2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2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2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2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2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2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2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2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2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2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2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2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2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2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2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2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2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2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2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2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2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2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2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2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2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2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2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2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2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2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2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2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2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2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2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2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2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2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2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2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2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2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2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2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2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2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2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2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2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2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2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2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2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2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2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2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2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2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2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2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2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2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2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2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2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2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2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2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2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2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2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2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2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2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2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2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2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2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2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2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2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2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2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2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2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2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2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2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2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2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2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2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2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2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2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2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2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2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2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2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2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2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2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2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2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2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2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2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2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2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2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2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2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2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2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2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2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2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2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2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2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2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2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2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2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2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2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2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2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2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2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2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2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2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2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2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2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2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2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2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2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2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2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2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2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2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2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2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2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2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2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2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2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2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2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2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2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2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2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2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2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2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2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2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2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2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2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2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2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2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2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2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2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2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2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2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2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2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2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2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2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2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2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2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2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2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2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2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2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2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2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2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2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2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2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2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2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2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2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2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2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2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2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2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2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2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2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2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2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2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2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2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2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2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2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2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2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2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2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2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2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2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2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2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2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2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2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2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2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2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2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2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2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2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2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2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2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2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2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2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2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2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2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2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2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2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2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2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2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2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2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2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2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2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2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2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2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2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2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2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2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2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2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2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2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2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2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2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2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2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2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2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2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2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2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2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2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2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2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2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2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2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2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2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2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2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2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2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2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2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2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2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2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2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2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2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2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2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2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2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2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2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2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2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2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2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2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2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2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2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2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2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2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2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2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2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2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2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2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2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2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2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2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2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2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2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2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2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2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2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2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2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2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2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2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2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2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2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2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2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2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2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2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2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2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2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2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2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2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2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2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2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2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2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2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2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2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2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2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2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2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2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2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2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2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2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2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2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2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2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2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2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2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2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2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2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2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2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2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2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2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2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2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2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2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2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2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2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2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2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2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2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2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2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2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2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2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2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2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2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2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2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2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2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2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2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2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2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2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2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2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2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2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2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2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2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2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2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2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2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2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2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2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2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2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2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2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2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2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2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2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2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2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2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2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2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2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2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2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2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2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2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2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2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2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2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2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2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2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2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2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2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2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2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2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2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2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2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2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2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2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2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2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2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2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2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2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2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2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2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2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2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2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2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2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2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2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2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2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2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2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2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2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2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2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2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2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2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2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2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2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2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2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2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2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2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2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2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2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2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2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2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2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2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2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2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2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2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2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2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2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2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2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2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2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2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2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2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2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2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2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2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2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2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2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2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2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2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2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2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2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2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2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2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2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2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2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2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2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2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2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2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2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2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2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2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2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2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2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2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2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2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2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2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MEC</t>
        </is>
      </c>
      <c r="B8" s="3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IF(N7="","",IF(N7+7&gt;MAX(tblOrdenes[fecha_inicio]),"",N7+7))</f>
        <v/>
      </c>
      <c r="O8" s="3">
        <f>IF(N8="","",YEAR(N8+4-WEEKDAY(N8,2))&amp;"-S"&amp;TEXT(_xlfn.ISOWEEKNUM(N8),"00"))</f>
        <v/>
      </c>
    </row>
    <row r="9">
      <c r="A9" s="3" t="inlineStr">
        <is>
          <t>ELE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IF(N8="","",IF(N8+7&gt;MAX(tblOrdenes[fecha_inicio]),"",N8+7))</f>
        <v/>
      </c>
      <c r="O9" s="3">
        <f>IF(N9="","",YEAR(N9+4-WEEKDAY(N9,2))&amp;"-S"&amp;TEXT(_xlfn.ISOWEEKNUM(N9),"00"))</f>
        <v/>
      </c>
    </row>
    <row r="10">
      <c r="A10" s="3" t="inlineStr">
        <is>
          <t>AUT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>
      <c r="A11" s="3" t="inlineStr">
        <is>
          <t>TERCERO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 hidden="1">
      <c r="A72" s="3" t="inlineStr">
        <is>
          <t>MEC</t>
        </is>
      </c>
      <c r="B72" s="3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 hidden="1">
      <c r="A73" s="3" t="inlineStr">
        <is>
          <t>ELE</t>
        </is>
      </c>
      <c r="B73" s="3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 hidden="1">
      <c r="A74" s="3" t="inlineStr">
        <is>
          <t>AUT</t>
        </is>
      </c>
      <c r="B74" s="3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 hidden="1">
      <c r="A75" s="3" t="inlineStr">
        <is>
          <t>TERCERO</t>
        </is>
      </c>
      <c r="B75" s="3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TERCERO</t>
        </is>
      </c>
      <c r="B87" s="3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MEC</t>
        </is>
      </c>
      <c r="B100" s="3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ELE</t>
        </is>
      </c>
      <c r="B101" s="3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AUT</t>
        </is>
      </c>
      <c r="B102" s="3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TERCERO</t>
        </is>
      </c>
      <c r="B147" s="3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MEC</t>
        </is>
      </c>
      <c r="B148" s="3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ELE</t>
        </is>
      </c>
      <c r="B149" s="3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AUT</t>
        </is>
      </c>
      <c r="B150" s="3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TERCERO</t>
        </is>
      </c>
      <c r="B151" s="3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 hidden="1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 hidden="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 hidden="1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>
      <c r="A311" s="3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 hidden="1">
      <c r="A327" s="3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>
      <c r="A330" s="3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 hidden="1">
      <c r="A334" s="3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>
      <c r="A345" s="3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 hidden="1">
      <c r="A346" s="3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 hidden="1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 hidden="1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 hidden="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COUNTIFS(tblOrdenes[coordinador],$A90,tblOrdenes[es_habil],"sí")</f>
        <v/>
      </c>
      <c r="C90" s="3">
        <f>COUNTIFS(tblOrdenes[coordinador],$A90,tblOrdenes[estado],"Cerrada",tblOrdenes[es_habil],"sí")</f>
        <v/>
      </c>
      <c r="D90" s="18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COUNTIFS(tblOrdenes[clasificacion],$A96,tblOrdenes[es_habil],"sí")</f>
        <v/>
      </c>
      <c r="C96" s="3">
        <f>COUNTIFS(tblOrdenes[clasificacion],$A96,tblOrdenes[estado],"Cerrada",tblOrdenes[es_habil],"sí")</f>
        <v/>
      </c>
      <c r="D96" s="18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COUNTIFS(tblOrdenes[tecnico_asignado],$A102,tblOrdenes[es_habil],"sí")</f>
        <v/>
      </c>
      <c r="C102" s="3">
        <f>COUNTIFS(tblOrdenes[tecnico_asignado],$A102,tblOrdenes[estado],"Cerrada",tblOrdenes[es_habil],"sí")</f>
        <v/>
      </c>
      <c r="D102" s="18">
        <f>IF(B102=0,"",C102/B102)</f>
        <v/>
      </c>
      <c r="E102" s="17">
        <f>SUMIFS(tblOrdenes[horas_efectivas],tblOrdenes[tecnico_asignado],$A102,tblOrdenes[es_habil],"sí")</f>
        <v/>
      </c>
      <c r="F102" s="17">
        <f>SUMIFS(tblOrdenes[horas_efectivas],tblOrdenes[tecnico_asignado],$A102,tblOrdenes[estado],"Cerrada",tblOrdenes[es_habil],"sí")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COUNTIFS(tblOrdenes[tecnico_asignado],$A115,tblOrdenes[es_habil],"sí")</f>
        <v/>
      </c>
      <c r="C115" s="3">
        <f>COUNTIFS(tblOrdenes[tecnico_asignado],$A115,tblOrdenes[estado],"Cerrada",tblOrdenes[es_habil],"sí")</f>
        <v/>
      </c>
      <c r="D115" s="18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COUNTIFS(tblOrdenes[tecnico_asignado],$A116,tblOrdenes[es_habil],"sí")</f>
        <v/>
      </c>
      <c r="C116" s="3">
        <f>COUNTIFS(tblOrdenes[tecnico_asignado],$A116,tblOrdenes[estado],"Cerrada",tblOrdenes[es_habil],"sí")</f>
        <v/>
      </c>
      <c r="D116" s="18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COUNTIFS(tblOrdenes[tecnico_asignado],$A117,tblOrdenes[es_habil],"sí")</f>
        <v/>
      </c>
      <c r="C117" s="3">
        <f>COUNTIFS(tblOrdenes[tecnico_asignado],$A117,tblOrdenes[estado],"Cerrada",tblOrdenes[es_habil],"sí")</f>
        <v/>
      </c>
      <c r="D117" s="18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10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SUMIFS(tblOrdenes[costo_plan],tblOrdenes[area],$A6,tblOrdenes[anio],B$4,tblOrdenes[mes],B$5)</f>
        <v/>
      </c>
      <c r="C6" s="11">
        <f>SUMIFS(tblOrdenes[costo_plan],tblOrdenes[area],$A6,tblOrdenes[anio],C$4,tblOrdenes[mes],C$5)</f>
        <v/>
      </c>
      <c r="D6" s="11">
        <f>SUMIFS(tblOrdenes[costo_plan],tblOrdenes[area],$A6,tblOrdenes[anio],D$4,tblOrdenes[mes],D$5)</f>
        <v/>
      </c>
      <c r="E6" s="11">
        <f>SUMIFS(tblOrdenes[costo_plan],tblOrdenes[area],$A6,tblOrdenes[anio],E$4,tblOrdenes[mes],E$5)</f>
        <v/>
      </c>
      <c r="F6" s="11">
        <f>SUMIFS(tblOrdenes[costo_plan],tblOrdenes[area],$A6,tblOrdenes[anio],F$4,tblOrdenes[mes],F$5)</f>
        <v/>
      </c>
      <c r="G6" s="11">
        <f>SUMIFS(tblOrdenes[costo_plan],tblOrdenes[area],$A6,tblOrdenes[anio],G$4,tblOrdenes[mes],G$5)</f>
        <v/>
      </c>
      <c r="H6" s="11">
        <f>SUMIFS(tblOrdenes[costo_plan],tblOrdenes[area],$A6,tblOrdenes[anio],H$4,tblOrdenes[mes],H$5)</f>
        <v/>
      </c>
      <c r="I6" s="11">
        <f>SUMIFS(tblOrdenes[costo_plan],tblOrdenes[area],$A6,tblOrdenes[anio],I$4,tblOrdenes[mes],I$5)</f>
        <v/>
      </c>
      <c r="J6" s="11">
        <f>SUMIFS(tblOrdenes[costo_plan],tblOrdenes[area],$A6,tblOrdenes[anio],J$4,tblOrdenes[mes],J$5)</f>
        <v/>
      </c>
      <c r="K6" s="11">
        <f>SUMIFS(tblOrdenes[costo_plan],tblOrdenes[area],$A6,tblOrdenes[anio],K$4,tblOrdenes[mes],K$5)</f>
        <v/>
      </c>
      <c r="L6" s="11">
        <f>SUMIFS(tblOrdenes[costo_plan],tblOrdenes[area],$A6,tblOrdenes[anio],L$4,tblOrdenes[mes],L$5)</f>
        <v/>
      </c>
      <c r="M6" s="11">
        <f>SUM(B6:L6)</f>
        <v/>
      </c>
    </row>
    <row r="7">
      <c r="A7" s="3" t="inlineStr">
        <is>
          <t>EMPAQUE</t>
        </is>
      </c>
      <c r="B7" s="11">
        <f>SUMIFS(tblOrdenes[costo_plan],tblOrdenes[area],$A7,tblOrdenes[anio],B$4,tblOrdenes[mes],B$5)</f>
        <v/>
      </c>
      <c r="C7" s="11">
        <f>SUMIFS(tblOrdenes[costo_plan],tblOrdenes[area],$A7,tblOrdenes[anio],C$4,tblOrdenes[mes],C$5)</f>
        <v/>
      </c>
      <c r="D7" s="11">
        <f>SUMIFS(tblOrdenes[costo_plan],tblOrdenes[area],$A7,tblOrdenes[anio],D$4,tblOrdenes[mes],D$5)</f>
        <v/>
      </c>
      <c r="E7" s="11">
        <f>SUMIFS(tblOrdenes[costo_plan],tblOrdenes[area],$A7,tblOrdenes[anio],E$4,tblOrdenes[mes],E$5)</f>
        <v/>
      </c>
      <c r="F7" s="11">
        <f>SUMIFS(tblOrdenes[costo_plan],tblOrdenes[area],$A7,tblOrdenes[anio],F$4,tblOrdenes[mes],F$5)</f>
        <v/>
      </c>
      <c r="G7" s="11">
        <f>SUMIFS(tblOrdenes[costo_plan],tblOrdenes[area],$A7,tblOrdenes[anio],G$4,tblOrdenes[mes],G$5)</f>
        <v/>
      </c>
      <c r="H7" s="11">
        <f>SUMIFS(tblOrdenes[costo_plan],tblOrdenes[area],$A7,tblOrdenes[anio],H$4,tblOrdenes[mes],H$5)</f>
        <v/>
      </c>
      <c r="I7" s="11">
        <f>SUMIFS(tblOrdenes[costo_plan],tblOrdenes[area],$A7,tblOrdenes[anio],I$4,tblOrdenes[mes],I$5)</f>
        <v/>
      </c>
      <c r="J7" s="11">
        <f>SUMIFS(tblOrdenes[costo_plan],tblOrdenes[area],$A7,tblOrdenes[anio],J$4,tblOrdenes[mes],J$5)</f>
        <v/>
      </c>
      <c r="K7" s="11">
        <f>SUMIFS(tblOrdenes[costo_plan],tblOrdenes[area],$A7,tblOrdenes[anio],K$4,tblOrdenes[mes],K$5)</f>
        <v/>
      </c>
      <c r="L7" s="11">
        <f>SUMIFS(tblOrdenes[costo_plan],tblOrdenes[area],$A7,tblOrdenes[anio],L$4,tblOrdenes[mes],L$5)</f>
        <v/>
      </c>
      <c r="M7" s="11">
        <f>SUM(B7:L7)</f>
        <v/>
      </c>
    </row>
    <row r="8">
      <c r="A8" s="3" t="inlineStr">
        <is>
          <t>SERVICIOS</t>
        </is>
      </c>
      <c r="B8" s="11">
        <f>SUMIFS(tblOrdenes[costo_plan],tblOrdenes[area],$A8,tblOrdenes[anio],B$4,tblOrdenes[mes],B$5)</f>
        <v/>
      </c>
      <c r="C8" s="11">
        <f>SUMIFS(tblOrdenes[costo_plan],tblOrdenes[area],$A8,tblOrdenes[anio],C$4,tblOrdenes[mes],C$5)</f>
        <v/>
      </c>
      <c r="D8" s="11">
        <f>SUMIFS(tblOrdenes[costo_plan],tblOrdenes[area],$A8,tblOrdenes[anio],D$4,tblOrdenes[mes],D$5)</f>
        <v/>
      </c>
      <c r="E8" s="11">
        <f>SUMIFS(tblOrdenes[costo_plan],tblOrdenes[area],$A8,tblOrdenes[anio],E$4,tblOrdenes[mes],E$5)</f>
        <v/>
      </c>
      <c r="F8" s="11">
        <f>SUMIFS(tblOrdenes[costo_plan],tblOrdenes[area],$A8,tblOrdenes[anio],F$4,tblOrdenes[mes],F$5)</f>
        <v/>
      </c>
      <c r="G8" s="11">
        <f>SUMIFS(tblOrdenes[costo_plan],tblOrdenes[area],$A8,tblOrdenes[anio],G$4,tblOrdenes[mes],G$5)</f>
        <v/>
      </c>
      <c r="H8" s="11">
        <f>SUMIFS(tblOrdenes[costo_plan],tblOrdenes[area],$A8,tblOrdenes[anio],H$4,tblOrdenes[mes],H$5)</f>
        <v/>
      </c>
      <c r="I8" s="11">
        <f>SUMIFS(tblOrdenes[costo_plan],tblOrdenes[area],$A8,tblOrdenes[anio],I$4,tblOrdenes[mes],I$5)</f>
        <v/>
      </c>
      <c r="J8" s="11">
        <f>SUMIFS(tblOrdenes[costo_plan],tblOrdenes[area],$A8,tblOrdenes[anio],J$4,tblOrdenes[mes],J$5)</f>
        <v/>
      </c>
      <c r="K8" s="11">
        <f>SUMIFS(tblOrdenes[costo_plan],tblOrdenes[area],$A8,tblOrdenes[anio],K$4,tblOrdenes[mes],K$5)</f>
        <v/>
      </c>
      <c r="L8" s="11">
        <f>SUMIFS(tblOrdenes[costo_plan],tblOrdenes[area],$A8,tblOrdenes[anio],L$4,tblOrdenes[mes],L$5)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10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SUMIFS(tblOrdenes[costo_total],tblOrdenes[area],$A14,tblOrdenes[anio],B$12,tblOrdenes[mes],B$13)</f>
        <v/>
      </c>
      <c r="C14" s="11">
        <f>SUMIFS(tblOrdenes[costo_total],tblOrdenes[area],$A14,tblOrdenes[anio],C$12,tblOrdenes[mes],C$13)</f>
        <v/>
      </c>
      <c r="D14" s="11">
        <f>SUMIFS(tblOrdenes[costo_total],tblOrdenes[area],$A14,tblOrdenes[anio],D$12,tblOrdenes[mes],D$13)</f>
        <v/>
      </c>
      <c r="E14" s="11">
        <f>SUMIFS(tblOrdenes[costo_total],tblOrdenes[area],$A14,tblOrdenes[anio],E$12,tblOrdenes[mes],E$13)</f>
        <v/>
      </c>
      <c r="F14" s="11">
        <f>SUMIFS(tblOrdenes[costo_total],tblOrdenes[area],$A14,tblOrdenes[anio],F$12,tblOrdenes[mes],F$13)</f>
        <v/>
      </c>
      <c r="G14" s="11">
        <f>SUMIFS(tblOrdenes[costo_total],tblOrdenes[area],$A14,tblOrdenes[anio],G$12,tblOrdenes[mes],G$13)</f>
        <v/>
      </c>
      <c r="H14" s="11">
        <f>SUMIFS(tblOrdenes[costo_total],tblOrdenes[area],$A14,tblOrdenes[anio],H$12,tblOrdenes[mes],H$13)</f>
        <v/>
      </c>
      <c r="I14" s="11">
        <f>SUMIFS(tblOrdenes[costo_total],tblOrdenes[area],$A14,tblOrdenes[anio],I$12,tblOrdenes[mes],I$13)</f>
        <v/>
      </c>
      <c r="J14" s="11">
        <f>SUMIFS(tblOrdenes[costo_total],tblOrdenes[area],$A14,tblOrdenes[anio],J$12,tblOrdenes[mes],J$13)</f>
        <v/>
      </c>
      <c r="K14" s="11">
        <f>SUMIFS(tblOrdenes[costo_total],tblOrdenes[area],$A14,tblOrdenes[anio],K$12,tblOrdenes[mes],K$13)</f>
        <v/>
      </c>
      <c r="L14" s="11">
        <f>SUMIFS(tblOrdenes[costo_total],tblOrdenes[area],$A14,tblOrdenes[anio],L$12,tblOrdenes[mes],L$13)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SUMIFS(tblOrdenes[costo_total],tblOrdenes[area],$A15,tblOrdenes[anio],B$12,tblOrdenes[mes],B$13)</f>
        <v/>
      </c>
      <c r="C15" s="11">
        <f>SUMIFS(tblOrdenes[costo_total],tblOrdenes[area],$A15,tblOrdenes[anio],C$12,tblOrdenes[mes],C$13)</f>
        <v/>
      </c>
      <c r="D15" s="11">
        <f>SUMIFS(tblOrdenes[costo_total],tblOrdenes[area],$A15,tblOrdenes[anio],D$12,tblOrdenes[mes],D$13)</f>
        <v/>
      </c>
      <c r="E15" s="11">
        <f>SUMIFS(tblOrdenes[costo_total],tblOrdenes[area],$A15,tblOrdenes[anio],E$12,tblOrdenes[mes],E$13)</f>
        <v/>
      </c>
      <c r="F15" s="11">
        <f>SUMIFS(tblOrdenes[costo_total],tblOrdenes[area],$A15,tblOrdenes[anio],F$12,tblOrdenes[mes],F$13)</f>
        <v/>
      </c>
      <c r="G15" s="11">
        <f>SUMIFS(tblOrdenes[costo_total],tblOrdenes[area],$A15,tblOrdenes[anio],G$12,tblOrdenes[mes],G$13)</f>
        <v/>
      </c>
      <c r="H15" s="11">
        <f>SUMIFS(tblOrdenes[costo_total],tblOrdenes[area],$A15,tblOrdenes[anio],H$12,tblOrdenes[mes],H$13)</f>
        <v/>
      </c>
      <c r="I15" s="11">
        <f>SUMIFS(tblOrdenes[costo_total],tblOrdenes[area],$A15,tblOrdenes[anio],I$12,tblOrdenes[mes],I$13)</f>
        <v/>
      </c>
      <c r="J15" s="11">
        <f>SUMIFS(tblOrdenes[costo_total],tblOrdenes[area],$A15,tblOrdenes[anio],J$12,tblOrdenes[mes],J$13)</f>
        <v/>
      </c>
      <c r="K15" s="11">
        <f>SUMIFS(tblOrdenes[costo_total],tblOrdenes[area],$A15,tblOrdenes[anio],K$12,tblOrdenes[mes],K$13)</f>
        <v/>
      </c>
      <c r="L15" s="11">
        <f>SUMIFS(tblOrdenes[costo_total],tblOrdenes[area],$A15,tblOrdenes[anio],L$12,tblOrdenes[mes],L$13)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SUMIFS(tblOrdenes[costo_total],tblOrdenes[area],$A16,tblOrdenes[anio],B$12,tblOrdenes[mes],B$13)</f>
        <v/>
      </c>
      <c r="C16" s="11">
        <f>SUMIFS(tblOrdenes[costo_total],tblOrdenes[area],$A16,tblOrdenes[anio],C$12,tblOrdenes[mes],C$13)</f>
        <v/>
      </c>
      <c r="D16" s="11">
        <f>SUMIFS(tblOrdenes[costo_total],tblOrdenes[area],$A16,tblOrdenes[anio],D$12,tblOrdenes[mes],D$13)</f>
        <v/>
      </c>
      <c r="E16" s="11">
        <f>SUMIFS(tblOrdenes[costo_total],tblOrdenes[area],$A16,tblOrdenes[anio],E$12,tblOrdenes[mes],E$13)</f>
        <v/>
      </c>
      <c r="F16" s="11">
        <f>SUMIFS(tblOrdenes[costo_total],tblOrdenes[area],$A16,tblOrdenes[anio],F$12,tblOrdenes[mes],F$13)</f>
        <v/>
      </c>
      <c r="G16" s="11">
        <f>SUMIFS(tblOrdenes[costo_total],tblOrdenes[area],$A16,tblOrdenes[anio],G$12,tblOrdenes[mes],G$13)</f>
        <v/>
      </c>
      <c r="H16" s="11">
        <f>SUMIFS(tblOrdenes[costo_total],tblOrdenes[area],$A16,tblOrdenes[anio],H$12,tblOrdenes[mes],H$13)</f>
        <v/>
      </c>
      <c r="I16" s="11">
        <f>SUMIFS(tblOrdenes[costo_total],tblOrdenes[area],$A16,tblOrdenes[anio],I$12,tblOrdenes[mes],I$13)</f>
        <v/>
      </c>
      <c r="J16" s="11">
        <f>SUMIFS(tblOrdenes[costo_total],tblOrdenes[area],$A16,tblOrdenes[anio],J$12,tblOrdenes[mes],J$13)</f>
        <v/>
      </c>
      <c r="K16" s="11">
        <f>SUMIFS(tblOrdenes[costo_total],tblOrdenes[area],$A16,tblOrdenes[anio],K$12,tblOrdenes[mes],K$13)</f>
        <v/>
      </c>
      <c r="L16" s="11">
        <f>SUMIFS(tblOrdenes[costo_total],tblOrdenes[area],$A16,tblOrdenes[anio],L$12,tblOrdenes[mes],L$13)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10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SUMIFS(tblOrdenes[costo_total],tblOrdenes[sub_area],$A28,tblOrdenes[anio],B$26,tblOrdenes[mes],B$27)</f>
        <v/>
      </c>
      <c r="C28" s="11">
        <f>SUMIFS(tblOrdenes[costo_total],tblOrdenes[sub_area],$A28,tblOrdenes[anio],C$26,tblOrdenes[mes],C$27)</f>
        <v/>
      </c>
      <c r="D28" s="11">
        <f>SUMIFS(tblOrdenes[costo_total],tblOrdenes[sub_area],$A28,tblOrdenes[anio],D$26,tblOrdenes[mes],D$27)</f>
        <v/>
      </c>
      <c r="E28" s="11">
        <f>SUMIFS(tblOrdenes[costo_total],tblOrdenes[sub_area],$A28,tblOrdenes[anio],E$26,tblOrdenes[mes],E$27)</f>
        <v/>
      </c>
      <c r="F28" s="11">
        <f>SUMIFS(tblOrdenes[costo_total],tblOrdenes[sub_area],$A28,tblOrdenes[anio],F$26,tblOrdenes[mes],F$27)</f>
        <v/>
      </c>
      <c r="G28" s="11">
        <f>SUMIFS(tblOrdenes[costo_total],tblOrdenes[sub_area],$A28,tblOrdenes[anio],G$26,tblOrdenes[mes],G$27)</f>
        <v/>
      </c>
      <c r="H28" s="11">
        <f>SUMIFS(tblOrdenes[costo_total],tblOrdenes[sub_area],$A28,tblOrdenes[anio],H$26,tblOrdenes[mes],H$27)</f>
        <v/>
      </c>
      <c r="I28" s="11">
        <f>SUMIFS(tblOrdenes[costo_total],tblOrdenes[sub_area],$A28,tblOrdenes[anio],I$26,tblOrdenes[mes],I$27)</f>
        <v/>
      </c>
      <c r="J28" s="11">
        <f>SUMIFS(tblOrdenes[costo_total],tblOrdenes[sub_area],$A28,tblOrdenes[anio],J$26,tblOrdenes[mes],J$27)</f>
        <v/>
      </c>
      <c r="K28" s="11">
        <f>SUMIFS(tblOrdenes[costo_total],tblOrdenes[sub_area],$A28,tblOrdenes[anio],K$26,tblOrdenes[mes],K$27)</f>
        <v/>
      </c>
      <c r="L28" s="11">
        <f>SUMIFS(tblOrdenes[costo_total],tblOrdenes[sub_area],$A28,tblOrdenes[anio],L$26,tblOrdenes[mes],L$27)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SUMIFS(tblOrdenes[costo_total],tblOrdenes[sub_area],$A29,tblOrdenes[anio],B$26,tblOrdenes[mes],B$27)</f>
        <v/>
      </c>
      <c r="C29" s="11">
        <f>SUMIFS(tblOrdenes[costo_total],tblOrdenes[sub_area],$A29,tblOrdenes[anio],C$26,tblOrdenes[mes],C$27)</f>
        <v/>
      </c>
      <c r="D29" s="11">
        <f>SUMIFS(tblOrdenes[costo_total],tblOrdenes[sub_area],$A29,tblOrdenes[anio],D$26,tblOrdenes[mes],D$27)</f>
        <v/>
      </c>
      <c r="E29" s="11">
        <f>SUMIFS(tblOrdenes[costo_total],tblOrdenes[sub_area],$A29,tblOrdenes[anio],E$26,tblOrdenes[mes],E$27)</f>
        <v/>
      </c>
      <c r="F29" s="11">
        <f>SUMIFS(tblOrdenes[costo_total],tblOrdenes[sub_area],$A29,tblOrdenes[anio],F$26,tblOrdenes[mes],F$27)</f>
        <v/>
      </c>
      <c r="G29" s="11">
        <f>SUMIFS(tblOrdenes[costo_total],tblOrdenes[sub_area],$A29,tblOrdenes[anio],G$26,tblOrdenes[mes],G$27)</f>
        <v/>
      </c>
      <c r="H29" s="11">
        <f>SUMIFS(tblOrdenes[costo_total],tblOrdenes[sub_area],$A29,tblOrdenes[anio],H$26,tblOrdenes[mes],H$27)</f>
        <v/>
      </c>
      <c r="I29" s="11">
        <f>SUMIFS(tblOrdenes[costo_total],tblOrdenes[sub_area],$A29,tblOrdenes[anio],I$26,tblOrdenes[mes],I$27)</f>
        <v/>
      </c>
      <c r="J29" s="11">
        <f>SUMIFS(tblOrdenes[costo_total],tblOrdenes[sub_area],$A29,tblOrdenes[anio],J$26,tblOrdenes[mes],J$27)</f>
        <v/>
      </c>
      <c r="K29" s="11">
        <f>SUMIFS(tblOrdenes[costo_total],tblOrdenes[sub_area],$A29,tblOrdenes[anio],K$26,tblOrdenes[mes],K$27)</f>
        <v/>
      </c>
      <c r="L29" s="11">
        <f>SUMIFS(tblOrdenes[costo_total],tblOrdenes[sub_area],$A29,tblOrdenes[anio],L$26,tblOrdenes[mes],L$27)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SUMIFS(tblOrdenes[costo_total],tblOrdenes[sub_area],$A30,tblOrdenes[anio],B$26,tblOrdenes[mes],B$27)</f>
        <v/>
      </c>
      <c r="C30" s="11">
        <f>SUMIFS(tblOrdenes[costo_total],tblOrdenes[sub_area],$A30,tblOrdenes[anio],C$26,tblOrdenes[mes],C$27)</f>
        <v/>
      </c>
      <c r="D30" s="11">
        <f>SUMIFS(tblOrdenes[costo_total],tblOrdenes[sub_area],$A30,tblOrdenes[anio],D$26,tblOrdenes[mes],D$27)</f>
        <v/>
      </c>
      <c r="E30" s="11">
        <f>SUMIFS(tblOrdenes[costo_total],tblOrdenes[sub_area],$A30,tblOrdenes[anio],E$26,tblOrdenes[mes],E$27)</f>
        <v/>
      </c>
      <c r="F30" s="11">
        <f>SUMIFS(tblOrdenes[costo_total],tblOrdenes[sub_area],$A30,tblOrdenes[anio],F$26,tblOrdenes[mes],F$27)</f>
        <v/>
      </c>
      <c r="G30" s="11">
        <f>SUMIFS(tblOrdenes[costo_total],tblOrdenes[sub_area],$A30,tblOrdenes[anio],G$26,tblOrdenes[mes],G$27)</f>
        <v/>
      </c>
      <c r="H30" s="11">
        <f>SUMIFS(tblOrdenes[costo_total],tblOrdenes[sub_area],$A30,tblOrdenes[anio],H$26,tblOrdenes[mes],H$27)</f>
        <v/>
      </c>
      <c r="I30" s="11">
        <f>SUMIFS(tblOrdenes[costo_total],tblOrdenes[sub_area],$A30,tblOrdenes[anio],I$26,tblOrdenes[mes],I$27)</f>
        <v/>
      </c>
      <c r="J30" s="11">
        <f>SUMIFS(tblOrdenes[costo_total],tblOrdenes[sub_area],$A30,tblOrdenes[anio],J$26,tblOrdenes[mes],J$27)</f>
        <v/>
      </c>
      <c r="K30" s="11">
        <f>SUMIFS(tblOrdenes[costo_total],tblOrdenes[sub_area],$A30,tblOrdenes[anio],K$26,tblOrdenes[mes],K$27)</f>
        <v/>
      </c>
      <c r="L30" s="11">
        <f>SUMIFS(tblOrdenes[costo_total],tblOrdenes[sub_area],$A30,tblOrdenes[anio],L$26,tblOrdenes[mes],L$27)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SUMIFS(tblOrdenes[costo_total],tblOrdenes[sub_area],$A31,tblOrdenes[anio],B$26,tblOrdenes[mes],B$27)</f>
        <v/>
      </c>
      <c r="C31" s="11">
        <f>SUMIFS(tblOrdenes[costo_total],tblOrdenes[sub_area],$A31,tblOrdenes[anio],C$26,tblOrdenes[mes],C$27)</f>
        <v/>
      </c>
      <c r="D31" s="11">
        <f>SUMIFS(tblOrdenes[costo_total],tblOrdenes[sub_area],$A31,tblOrdenes[anio],D$26,tblOrdenes[mes],D$27)</f>
        <v/>
      </c>
      <c r="E31" s="11">
        <f>SUMIFS(tblOrdenes[costo_total],tblOrdenes[sub_area],$A31,tblOrdenes[anio],E$26,tblOrdenes[mes],E$27)</f>
        <v/>
      </c>
      <c r="F31" s="11">
        <f>SUMIFS(tblOrdenes[costo_total],tblOrdenes[sub_area],$A31,tblOrdenes[anio],F$26,tblOrdenes[mes],F$27)</f>
        <v/>
      </c>
      <c r="G31" s="11">
        <f>SUMIFS(tblOrdenes[costo_total],tblOrdenes[sub_area],$A31,tblOrdenes[anio],G$26,tblOrdenes[mes],G$27)</f>
        <v/>
      </c>
      <c r="H31" s="11">
        <f>SUMIFS(tblOrdenes[costo_total],tblOrdenes[sub_area],$A31,tblOrdenes[anio],H$26,tblOrdenes[mes],H$27)</f>
        <v/>
      </c>
      <c r="I31" s="11">
        <f>SUMIFS(tblOrdenes[costo_total],tblOrdenes[sub_area],$A31,tblOrdenes[anio],I$26,tblOrdenes[mes],I$27)</f>
        <v/>
      </c>
      <c r="J31" s="11">
        <f>SUMIFS(tblOrdenes[costo_total],tblOrdenes[sub_area],$A31,tblOrdenes[anio],J$26,tblOrdenes[mes],J$27)</f>
        <v/>
      </c>
      <c r="K31" s="11">
        <f>SUMIFS(tblOrdenes[costo_total],tblOrdenes[sub_area],$A31,tblOrdenes[anio],K$26,tblOrdenes[mes],K$27)</f>
        <v/>
      </c>
      <c r="L31" s="11">
        <f>SUMIFS(tblOrdenes[costo_total],tblOrdenes[sub_area],$A31,tblOrdenes[anio],L$26,tblOrdenes[mes],L$27)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SUMIFS(tblOrdenes[costo_total],tblOrdenes[sub_area],$A32,tblOrdenes[anio],B$26,tblOrdenes[mes],B$27)</f>
        <v/>
      </c>
      <c r="C32" s="11">
        <f>SUMIFS(tblOrdenes[costo_total],tblOrdenes[sub_area],$A32,tblOrdenes[anio],C$26,tblOrdenes[mes],C$27)</f>
        <v/>
      </c>
      <c r="D32" s="11">
        <f>SUMIFS(tblOrdenes[costo_total],tblOrdenes[sub_area],$A32,tblOrdenes[anio],D$26,tblOrdenes[mes],D$27)</f>
        <v/>
      </c>
      <c r="E32" s="11">
        <f>SUMIFS(tblOrdenes[costo_total],tblOrdenes[sub_area],$A32,tblOrdenes[anio],E$26,tblOrdenes[mes],E$27)</f>
        <v/>
      </c>
      <c r="F32" s="11">
        <f>SUMIFS(tblOrdenes[costo_total],tblOrdenes[sub_area],$A32,tblOrdenes[anio],F$26,tblOrdenes[mes],F$27)</f>
        <v/>
      </c>
      <c r="G32" s="11">
        <f>SUMIFS(tblOrdenes[costo_total],tblOrdenes[sub_area],$A32,tblOrdenes[anio],G$26,tblOrdenes[mes],G$27)</f>
        <v/>
      </c>
      <c r="H32" s="11">
        <f>SUMIFS(tblOrdenes[costo_total],tblOrdenes[sub_area],$A32,tblOrdenes[anio],H$26,tblOrdenes[mes],H$27)</f>
        <v/>
      </c>
      <c r="I32" s="11">
        <f>SUMIFS(tblOrdenes[costo_total],tblOrdenes[sub_area],$A32,tblOrdenes[anio],I$26,tblOrdenes[mes],I$27)</f>
        <v/>
      </c>
      <c r="J32" s="11">
        <f>SUMIFS(tblOrdenes[costo_total],tblOrdenes[sub_area],$A32,tblOrdenes[anio],J$26,tblOrdenes[mes],J$27)</f>
        <v/>
      </c>
      <c r="K32" s="11">
        <f>SUMIFS(tblOrdenes[costo_total],tblOrdenes[sub_area],$A32,tblOrdenes[anio],K$26,tblOrdenes[mes],K$27)</f>
        <v/>
      </c>
      <c r="L32" s="11">
        <f>SUMIFS(tblOrdenes[costo_total],tblOrdenes[sub_area],$A32,tblOrdenes[anio],L$26,tblOrdenes[mes],L$27)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SUMIFS(tblOrdenes[costo_total],tblOrdenes[sub_area],$A33,tblOrdenes[anio],B$26,tblOrdenes[mes],B$27)</f>
        <v/>
      </c>
      <c r="C33" s="11">
        <f>SUMIFS(tblOrdenes[costo_total],tblOrdenes[sub_area],$A33,tblOrdenes[anio],C$26,tblOrdenes[mes],C$27)</f>
        <v/>
      </c>
      <c r="D33" s="11">
        <f>SUMIFS(tblOrdenes[costo_total],tblOrdenes[sub_area],$A33,tblOrdenes[anio],D$26,tblOrdenes[mes],D$27)</f>
        <v/>
      </c>
      <c r="E33" s="11">
        <f>SUMIFS(tblOrdenes[costo_total],tblOrdenes[sub_area],$A33,tblOrdenes[anio],E$26,tblOrdenes[mes],E$27)</f>
        <v/>
      </c>
      <c r="F33" s="11">
        <f>SUMIFS(tblOrdenes[costo_total],tblOrdenes[sub_area],$A33,tblOrdenes[anio],F$26,tblOrdenes[mes],F$27)</f>
        <v/>
      </c>
      <c r="G33" s="11">
        <f>SUMIFS(tblOrdenes[costo_total],tblOrdenes[sub_area],$A33,tblOrdenes[anio],G$26,tblOrdenes[mes],G$27)</f>
        <v/>
      </c>
      <c r="H33" s="11">
        <f>SUMIFS(tblOrdenes[costo_total],tblOrdenes[sub_area],$A33,tblOrdenes[anio],H$26,tblOrdenes[mes],H$27)</f>
        <v/>
      </c>
      <c r="I33" s="11">
        <f>SUMIFS(tblOrdenes[costo_total],tblOrdenes[sub_area],$A33,tblOrdenes[anio],I$26,tblOrdenes[mes],I$27)</f>
        <v/>
      </c>
      <c r="J33" s="11">
        <f>SUMIFS(tblOrdenes[costo_total],tblOrdenes[sub_area],$A33,tblOrdenes[anio],J$26,tblOrdenes[mes],J$27)</f>
        <v/>
      </c>
      <c r="K33" s="11">
        <f>SUMIFS(tblOrdenes[costo_total],tblOrdenes[sub_area],$A33,tblOrdenes[anio],K$26,tblOrdenes[mes],K$27)</f>
        <v/>
      </c>
      <c r="L33" s="11">
        <f>SUMIFS(tblOrdenes[costo_total],tblOrdenes[sub_area],$A33,tblOrdenes[anio],L$26,tblOrdenes[mes],L$27)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10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SUMIFS(tblOrdenes[costo_total],tblOrdenes[linea],$A39,tblOrdenes[anio],B$37,tblOrdenes[mes],B$38)</f>
        <v/>
      </c>
      <c r="C39" s="11">
        <f>SUMIFS(tblOrdenes[costo_total],tblOrdenes[linea],$A39,tblOrdenes[anio],C$37,tblOrdenes[mes],C$38)</f>
        <v/>
      </c>
      <c r="D39" s="11">
        <f>SUMIFS(tblOrdenes[costo_total],tblOrdenes[linea],$A39,tblOrdenes[anio],D$37,tblOrdenes[mes],D$38)</f>
        <v/>
      </c>
      <c r="E39" s="11">
        <f>SUMIFS(tblOrdenes[costo_total],tblOrdenes[linea],$A39,tblOrdenes[anio],E$37,tblOrdenes[mes],E$38)</f>
        <v/>
      </c>
      <c r="F39" s="11">
        <f>SUMIFS(tblOrdenes[costo_total],tblOrdenes[linea],$A39,tblOrdenes[anio],F$37,tblOrdenes[mes],F$38)</f>
        <v/>
      </c>
      <c r="G39" s="11">
        <f>SUMIFS(tblOrdenes[costo_total],tblOrdenes[linea],$A39,tblOrdenes[anio],G$37,tblOrdenes[mes],G$38)</f>
        <v/>
      </c>
      <c r="H39" s="11">
        <f>SUMIFS(tblOrdenes[costo_total],tblOrdenes[linea],$A39,tblOrdenes[anio],H$37,tblOrdenes[mes],H$38)</f>
        <v/>
      </c>
      <c r="I39" s="11">
        <f>SUMIFS(tblOrdenes[costo_total],tblOrdenes[linea],$A39,tblOrdenes[anio],I$37,tblOrdenes[mes],I$38)</f>
        <v/>
      </c>
      <c r="J39" s="11">
        <f>SUMIFS(tblOrdenes[costo_total],tblOrdenes[linea],$A39,tblOrdenes[anio],J$37,tblOrdenes[mes],J$38)</f>
        <v/>
      </c>
      <c r="K39" s="11">
        <f>SUMIFS(tblOrdenes[costo_total],tblOrdenes[linea],$A39,tblOrdenes[anio],K$37,tblOrdenes[mes],K$38)</f>
        <v/>
      </c>
      <c r="L39" s="11">
        <f>SUMIFS(tblOrdenes[costo_total],tblOrdenes[linea],$A39,tblOrdenes[anio],L$37,tblOrdenes[mes],L$38)</f>
        <v/>
      </c>
      <c r="M39" s="11">
        <f>SUM(B39:L39)</f>
        <v/>
      </c>
    </row>
    <row r="40">
      <c r="A40" s="3" t="inlineStr">
        <is>
          <t>L2</t>
        </is>
      </c>
      <c r="B40" s="11">
        <f>SUMIFS(tblOrdenes[costo_total],tblOrdenes[linea],$A40,tblOrdenes[anio],B$37,tblOrdenes[mes],B$38)</f>
        <v/>
      </c>
      <c r="C40" s="11">
        <f>SUMIFS(tblOrdenes[costo_total],tblOrdenes[linea],$A40,tblOrdenes[anio],C$37,tblOrdenes[mes],C$38)</f>
        <v/>
      </c>
      <c r="D40" s="11">
        <f>SUMIFS(tblOrdenes[costo_total],tblOrdenes[linea],$A40,tblOrdenes[anio],D$37,tblOrdenes[mes],D$38)</f>
        <v/>
      </c>
      <c r="E40" s="11">
        <f>SUMIFS(tblOrdenes[costo_total],tblOrdenes[linea],$A40,tblOrdenes[anio],E$37,tblOrdenes[mes],E$38)</f>
        <v/>
      </c>
      <c r="F40" s="11">
        <f>SUMIFS(tblOrdenes[costo_total],tblOrdenes[linea],$A40,tblOrdenes[anio],F$37,tblOrdenes[mes],F$38)</f>
        <v/>
      </c>
      <c r="G40" s="11">
        <f>SUMIFS(tblOrdenes[costo_total],tblOrdenes[linea],$A40,tblOrdenes[anio],G$37,tblOrdenes[mes],G$38)</f>
        <v/>
      </c>
      <c r="H40" s="11">
        <f>SUMIFS(tblOrdenes[costo_total],tblOrdenes[linea],$A40,tblOrdenes[anio],H$37,tblOrdenes[mes],H$38)</f>
        <v/>
      </c>
      <c r="I40" s="11">
        <f>SUMIFS(tblOrdenes[costo_total],tblOrdenes[linea],$A40,tblOrdenes[anio],I$37,tblOrdenes[mes],I$38)</f>
        <v/>
      </c>
      <c r="J40" s="11">
        <f>SUMIFS(tblOrdenes[costo_total],tblOrdenes[linea],$A40,tblOrdenes[anio],J$37,tblOrdenes[mes],J$38)</f>
        <v/>
      </c>
      <c r="K40" s="11">
        <f>SUMIFS(tblOrdenes[costo_total],tblOrdenes[linea],$A40,tblOrdenes[anio],K$37,tblOrdenes[mes],K$38)</f>
        <v/>
      </c>
      <c r="L40" s="11">
        <f>SUMIFS(tblOrdenes[costo_total],tblOrdenes[linea],$A40,tblOrdenes[anio],L$37,tblOrdenes[mes],L$38)</f>
        <v/>
      </c>
      <c r="M40" s="11">
        <f>SUM(B40:L40)</f>
        <v/>
      </c>
    </row>
    <row r="41">
      <c r="A41" s="3" t="inlineStr">
        <is>
          <t>L3</t>
        </is>
      </c>
      <c r="B41" s="11">
        <f>SUMIFS(tblOrdenes[costo_total],tblOrdenes[linea],$A41,tblOrdenes[anio],B$37,tblOrdenes[mes],B$38)</f>
        <v/>
      </c>
      <c r="C41" s="11">
        <f>SUMIFS(tblOrdenes[costo_total],tblOrdenes[linea],$A41,tblOrdenes[anio],C$37,tblOrdenes[mes],C$38)</f>
        <v/>
      </c>
      <c r="D41" s="11">
        <f>SUMIFS(tblOrdenes[costo_total],tblOrdenes[linea],$A41,tblOrdenes[anio],D$37,tblOrdenes[mes],D$38)</f>
        <v/>
      </c>
      <c r="E41" s="11">
        <f>SUMIFS(tblOrdenes[costo_total],tblOrdenes[linea],$A41,tblOrdenes[anio],E$37,tblOrdenes[mes],E$38)</f>
        <v/>
      </c>
      <c r="F41" s="11">
        <f>SUMIFS(tblOrdenes[costo_total],tblOrdenes[linea],$A41,tblOrdenes[anio],F$37,tblOrdenes[mes],F$38)</f>
        <v/>
      </c>
      <c r="G41" s="11">
        <f>SUMIFS(tblOrdenes[costo_total],tblOrdenes[linea],$A41,tblOrdenes[anio],G$37,tblOrdenes[mes],G$38)</f>
        <v/>
      </c>
      <c r="H41" s="11">
        <f>SUMIFS(tblOrdenes[costo_total],tblOrdenes[linea],$A41,tblOrdenes[anio],H$37,tblOrdenes[mes],H$38)</f>
        <v/>
      </c>
      <c r="I41" s="11">
        <f>SUMIFS(tblOrdenes[costo_total],tblOrdenes[linea],$A41,tblOrdenes[anio],I$37,tblOrdenes[mes],I$38)</f>
        <v/>
      </c>
      <c r="J41" s="11">
        <f>SUMIFS(tblOrdenes[costo_total],tblOrdenes[linea],$A41,tblOrdenes[anio],J$37,tblOrdenes[mes],J$38)</f>
        <v/>
      </c>
      <c r="K41" s="11">
        <f>SUMIFS(tblOrdenes[costo_total],tblOrdenes[linea],$A41,tblOrdenes[anio],K$37,tblOrdenes[mes],K$38)</f>
        <v/>
      </c>
      <c r="L41" s="11">
        <f>SUMIFS(tblOrdenes[costo_total],tblOrdenes[linea],$A41,tblOrdenes[anio],L$37,tblOrdenes[mes],L$38)</f>
        <v/>
      </c>
      <c r="M41" s="11">
        <f>SUM(B41:L41)</f>
        <v/>
      </c>
    </row>
    <row r="42">
      <c r="A42" s="3" t="inlineStr">
        <is>
          <t>L4</t>
        </is>
      </c>
      <c r="B42" s="11">
        <f>SUMIFS(tblOrdenes[costo_total],tblOrdenes[linea],$A42,tblOrdenes[anio],B$37,tblOrdenes[mes],B$38)</f>
        <v/>
      </c>
      <c r="C42" s="11">
        <f>SUMIFS(tblOrdenes[costo_total],tblOrdenes[linea],$A42,tblOrdenes[anio],C$37,tblOrdenes[mes],C$38)</f>
        <v/>
      </c>
      <c r="D42" s="11">
        <f>SUMIFS(tblOrdenes[costo_total],tblOrdenes[linea],$A42,tblOrdenes[anio],D$37,tblOrdenes[mes],D$38)</f>
        <v/>
      </c>
      <c r="E42" s="11">
        <f>SUMIFS(tblOrdenes[costo_total],tblOrdenes[linea],$A42,tblOrdenes[anio],E$37,tblOrdenes[mes],E$38)</f>
        <v/>
      </c>
      <c r="F42" s="11">
        <f>SUMIFS(tblOrdenes[costo_total],tblOrdenes[linea],$A42,tblOrdenes[anio],F$37,tblOrdenes[mes],F$38)</f>
        <v/>
      </c>
      <c r="G42" s="11">
        <f>SUMIFS(tblOrdenes[costo_total],tblOrdenes[linea],$A42,tblOrdenes[anio],G$37,tblOrdenes[mes],G$38)</f>
        <v/>
      </c>
      <c r="H42" s="11">
        <f>SUMIFS(tblOrdenes[costo_total],tblOrdenes[linea],$A42,tblOrdenes[anio],H$37,tblOrdenes[mes],H$38)</f>
        <v/>
      </c>
      <c r="I42" s="11">
        <f>SUMIFS(tblOrdenes[costo_total],tblOrdenes[linea],$A42,tblOrdenes[anio],I$37,tblOrdenes[mes],I$38)</f>
        <v/>
      </c>
      <c r="J42" s="11">
        <f>SUMIFS(tblOrdenes[costo_total],tblOrdenes[linea],$A42,tblOrdenes[anio],J$37,tblOrdenes[mes],J$38)</f>
        <v/>
      </c>
      <c r="K42" s="11">
        <f>SUMIFS(tblOrdenes[costo_total],tblOrdenes[linea],$A42,tblOrdenes[anio],K$37,tblOrdenes[mes],K$38)</f>
        <v/>
      </c>
      <c r="L42" s="11">
        <f>SUMIFS(tblOrdenes[costo_total],tblOrdenes[linea],$A42,tblOrdenes[anio],L$37,tblOrdenes[mes],L$38)</f>
        <v/>
      </c>
      <c r="M42" s="11">
        <f>SUM(B42:L42)</f>
        <v/>
      </c>
    </row>
    <row r="43">
      <c r="A43" s="3" t="inlineStr">
        <is>
          <t>SG</t>
        </is>
      </c>
      <c r="B43" s="11">
        <f>SUMIFS(tblOrdenes[costo_total],tblOrdenes[linea],$A43,tblOrdenes[anio],B$37,tblOrdenes[mes],B$38)</f>
        <v/>
      </c>
      <c r="C43" s="11">
        <f>SUMIFS(tblOrdenes[costo_total],tblOrdenes[linea],$A43,tblOrdenes[anio],C$37,tblOrdenes[mes],C$38)</f>
        <v/>
      </c>
      <c r="D43" s="11">
        <f>SUMIFS(tblOrdenes[costo_total],tblOrdenes[linea],$A43,tblOrdenes[anio],D$37,tblOrdenes[mes],D$38)</f>
        <v/>
      </c>
      <c r="E43" s="11">
        <f>SUMIFS(tblOrdenes[costo_total],tblOrdenes[linea],$A43,tblOrdenes[anio],E$37,tblOrdenes[mes],E$38)</f>
        <v/>
      </c>
      <c r="F43" s="11">
        <f>SUMIFS(tblOrdenes[costo_total],tblOrdenes[linea],$A43,tblOrdenes[anio],F$37,tblOrdenes[mes],F$38)</f>
        <v/>
      </c>
      <c r="G43" s="11">
        <f>SUMIFS(tblOrdenes[costo_total],tblOrdenes[linea],$A43,tblOrdenes[anio],G$37,tblOrdenes[mes],G$38)</f>
        <v/>
      </c>
      <c r="H43" s="11">
        <f>SUMIFS(tblOrdenes[costo_total],tblOrdenes[linea],$A43,tblOrdenes[anio],H$37,tblOrdenes[mes],H$38)</f>
        <v/>
      </c>
      <c r="I43" s="11">
        <f>SUMIFS(tblOrdenes[costo_total],tblOrdenes[linea],$A43,tblOrdenes[anio],I$37,tblOrdenes[mes],I$38)</f>
        <v/>
      </c>
      <c r="J43" s="11">
        <f>SUMIFS(tblOrdenes[costo_total],tblOrdenes[linea],$A43,tblOrdenes[anio],J$37,tblOrdenes[mes],J$38)</f>
        <v/>
      </c>
      <c r="K43" s="11">
        <f>SUMIFS(tblOrdenes[costo_total],tblOrdenes[linea],$A43,tblOrdenes[anio],K$37,tblOrdenes[mes],K$38)</f>
        <v/>
      </c>
      <c r="L43" s="11">
        <f>SUMIFS(tblOrdenes[costo_total],tblOrdenes[linea],$A43,tblOrdenes[anio],L$37,tblOrdenes[mes],L$38)</f>
        <v/>
      </c>
      <c r="M43" s="11">
        <f>SUM(B43:L43)</f>
        <v/>
      </c>
    </row>
    <row r="44">
      <c r="A44" s="3" t="inlineStr">
        <is>
          <t>SG</t>
        </is>
      </c>
      <c r="B44" s="11">
        <f>SUMIFS(tblOrdenes[costo_total],tblOrdenes[linea],$A44,tblOrdenes[anio],B$37,tblOrdenes[mes],B$38)</f>
        <v/>
      </c>
      <c r="C44" s="11">
        <f>SUMIFS(tblOrdenes[costo_total],tblOrdenes[linea],$A44,tblOrdenes[anio],C$37,tblOrdenes[mes],C$38)</f>
        <v/>
      </c>
      <c r="D44" s="11">
        <f>SUMIFS(tblOrdenes[costo_total],tblOrdenes[linea],$A44,tblOrdenes[anio],D$37,tblOrdenes[mes],D$38)</f>
        <v/>
      </c>
      <c r="E44" s="11">
        <f>SUMIFS(tblOrdenes[costo_total],tblOrdenes[linea],$A44,tblOrdenes[anio],E$37,tblOrdenes[mes],E$38)</f>
        <v/>
      </c>
      <c r="F44" s="11">
        <f>SUMIFS(tblOrdenes[costo_total],tblOrdenes[linea],$A44,tblOrdenes[anio],F$37,tblOrdenes[mes],F$38)</f>
        <v/>
      </c>
      <c r="G44" s="11">
        <f>SUMIFS(tblOrdenes[costo_total],tblOrdenes[linea],$A44,tblOrdenes[anio],G$37,tblOrdenes[mes],G$38)</f>
        <v/>
      </c>
      <c r="H44" s="11">
        <f>SUMIFS(tblOrdenes[costo_total],tblOrdenes[linea],$A44,tblOrdenes[anio],H$37,tblOrdenes[mes],H$38)</f>
        <v/>
      </c>
      <c r="I44" s="11">
        <f>SUMIFS(tblOrdenes[costo_total],tblOrdenes[linea],$A44,tblOrdenes[anio],I$37,tblOrdenes[mes],I$38)</f>
        <v/>
      </c>
      <c r="J44" s="11">
        <f>SUMIFS(tblOrdenes[costo_total],tblOrdenes[linea],$A44,tblOrdenes[anio],J$37,tblOrdenes[mes],J$38)</f>
        <v/>
      </c>
      <c r="K44" s="11">
        <f>SUMIFS(tblOrdenes[costo_total],tblOrdenes[linea],$A44,tblOrdenes[anio],K$37,tblOrdenes[mes],K$38)</f>
        <v/>
      </c>
      <c r="L44" s="11">
        <f>SUMIFS(tblOrdenes[costo_total],tblOrdenes[linea],$A44,tblOrdenes[anio],L$37,tblOrdenes[mes],L$38)</f>
        <v/>
      </c>
      <c r="M44" s="11">
        <f>SUM(B44:L44)</f>
        <v/>
      </c>
    </row>
    <row r="45">
      <c r="A45" s="3" t="inlineStr">
        <is>
          <t>TC</t>
        </is>
      </c>
      <c r="B45" s="11">
        <f>SUMIFS(tblOrdenes[costo_total],tblOrdenes[linea],$A45,tblOrdenes[anio],B$37,tblOrdenes[mes],B$38)</f>
        <v/>
      </c>
      <c r="C45" s="11">
        <f>SUMIFS(tblOrdenes[costo_total],tblOrdenes[linea],$A45,tblOrdenes[anio],C$37,tblOrdenes[mes],C$38)</f>
        <v/>
      </c>
      <c r="D45" s="11">
        <f>SUMIFS(tblOrdenes[costo_total],tblOrdenes[linea],$A45,tblOrdenes[anio],D$37,tblOrdenes[mes],D$38)</f>
        <v/>
      </c>
      <c r="E45" s="11">
        <f>SUMIFS(tblOrdenes[costo_total],tblOrdenes[linea],$A45,tblOrdenes[anio],E$37,tblOrdenes[mes],E$38)</f>
        <v/>
      </c>
      <c r="F45" s="11">
        <f>SUMIFS(tblOrdenes[costo_total],tblOrdenes[linea],$A45,tblOrdenes[anio],F$37,tblOrdenes[mes],F$38)</f>
        <v/>
      </c>
      <c r="G45" s="11">
        <f>SUMIFS(tblOrdenes[costo_total],tblOrdenes[linea],$A45,tblOrdenes[anio],G$37,tblOrdenes[mes],G$38)</f>
        <v/>
      </c>
      <c r="H45" s="11">
        <f>SUMIFS(tblOrdenes[costo_total],tblOrdenes[linea],$A45,tblOrdenes[anio],H$37,tblOrdenes[mes],H$38)</f>
        <v/>
      </c>
      <c r="I45" s="11">
        <f>SUMIFS(tblOrdenes[costo_total],tblOrdenes[linea],$A45,tblOrdenes[anio],I$37,tblOrdenes[mes],I$38)</f>
        <v/>
      </c>
      <c r="J45" s="11">
        <f>SUMIFS(tblOrdenes[costo_total],tblOrdenes[linea],$A45,tblOrdenes[anio],J$37,tblOrdenes[mes],J$38)</f>
        <v/>
      </c>
      <c r="K45" s="11">
        <f>SUMIFS(tblOrdenes[costo_total],tblOrdenes[linea],$A45,tblOrdenes[anio],K$37,tblOrdenes[mes],K$38)</f>
        <v/>
      </c>
      <c r="L45" s="11">
        <f>SUMIFS(tblOrdenes[costo_total],tblOrdenes[linea],$A45,tblOrdenes[anio],L$37,tblOrdenes[mes],L$38)</f>
        <v/>
      </c>
      <c r="M45" s="11">
        <f>SUM(B45:L45)</f>
        <v/>
      </c>
    </row>
    <row r="46">
      <c r="A46" s="3" t="inlineStr">
        <is>
          <t>TC</t>
        </is>
      </c>
      <c r="B46" s="11">
        <f>SUMIFS(tblOrdenes[costo_total],tblOrdenes[linea],$A46,tblOrdenes[anio],B$37,tblOrdenes[mes],B$38)</f>
        <v/>
      </c>
      <c r="C46" s="11">
        <f>SUMIFS(tblOrdenes[costo_total],tblOrdenes[linea],$A46,tblOrdenes[anio],C$37,tblOrdenes[mes],C$38)</f>
        <v/>
      </c>
      <c r="D46" s="11">
        <f>SUMIFS(tblOrdenes[costo_total],tblOrdenes[linea],$A46,tblOrdenes[anio],D$37,tblOrdenes[mes],D$38)</f>
        <v/>
      </c>
      <c r="E46" s="11">
        <f>SUMIFS(tblOrdenes[costo_total],tblOrdenes[linea],$A46,tblOrdenes[anio],E$37,tblOrdenes[mes],E$38)</f>
        <v/>
      </c>
      <c r="F46" s="11">
        <f>SUMIFS(tblOrdenes[costo_total],tblOrdenes[linea],$A46,tblOrdenes[anio],F$37,tblOrdenes[mes],F$38)</f>
        <v/>
      </c>
      <c r="G46" s="11">
        <f>SUMIFS(tblOrdenes[costo_total],tblOrdenes[linea],$A46,tblOrdenes[anio],G$37,tblOrdenes[mes],G$38)</f>
        <v/>
      </c>
      <c r="H46" s="11">
        <f>SUMIFS(tblOrdenes[costo_total],tblOrdenes[linea],$A46,tblOrdenes[anio],H$37,tblOrdenes[mes],H$38)</f>
        <v/>
      </c>
      <c r="I46" s="11">
        <f>SUMIFS(tblOrdenes[costo_total],tblOrdenes[linea],$A46,tblOrdenes[anio],I$37,tblOrdenes[mes],I$38)</f>
        <v/>
      </c>
      <c r="J46" s="11">
        <f>SUMIFS(tblOrdenes[costo_total],tblOrdenes[linea],$A46,tblOrdenes[anio],J$37,tblOrdenes[mes],J$38)</f>
        <v/>
      </c>
      <c r="K46" s="11">
        <f>SUMIFS(tblOrdenes[costo_total],tblOrdenes[linea],$A46,tblOrdenes[anio],K$37,tblOrdenes[mes],K$38)</f>
        <v/>
      </c>
      <c r="L46" s="11">
        <f>SUMIFS(tblOrdenes[costo_total],tblOrdenes[linea],$A46,tblOrdenes[anio],L$37,tblOrdenes[mes],L$38)</f>
        <v/>
      </c>
      <c r="M46" s="11">
        <f>SUM(B46:L46)</f>
        <v/>
      </c>
    </row>
    <row r="47">
      <c r="A47" s="3" t="inlineStr">
        <is>
          <t>CO</t>
        </is>
      </c>
      <c r="B47" s="11">
        <f>SUMIFS(tblOrdenes[costo_total],tblOrdenes[linea],$A47,tblOrdenes[anio],B$37,tblOrdenes[mes],B$38)</f>
        <v/>
      </c>
      <c r="C47" s="11">
        <f>SUMIFS(tblOrdenes[costo_total],tblOrdenes[linea],$A47,tblOrdenes[anio],C$37,tblOrdenes[mes],C$38)</f>
        <v/>
      </c>
      <c r="D47" s="11">
        <f>SUMIFS(tblOrdenes[costo_total],tblOrdenes[linea],$A47,tblOrdenes[anio],D$37,tblOrdenes[mes],D$38)</f>
        <v/>
      </c>
      <c r="E47" s="11">
        <f>SUMIFS(tblOrdenes[costo_total],tblOrdenes[linea],$A47,tblOrdenes[anio],E$37,tblOrdenes[mes],E$38)</f>
        <v/>
      </c>
      <c r="F47" s="11">
        <f>SUMIFS(tblOrdenes[costo_total],tblOrdenes[linea],$A47,tblOrdenes[anio],F$37,tblOrdenes[mes],F$38)</f>
        <v/>
      </c>
      <c r="G47" s="11">
        <f>SUMIFS(tblOrdenes[costo_total],tblOrdenes[linea],$A47,tblOrdenes[anio],G$37,tblOrdenes[mes],G$38)</f>
        <v/>
      </c>
      <c r="H47" s="11">
        <f>SUMIFS(tblOrdenes[costo_total],tblOrdenes[linea],$A47,tblOrdenes[anio],H$37,tblOrdenes[mes],H$38)</f>
        <v/>
      </c>
      <c r="I47" s="11">
        <f>SUMIFS(tblOrdenes[costo_total],tblOrdenes[linea],$A47,tblOrdenes[anio],I$37,tblOrdenes[mes],I$38)</f>
        <v/>
      </c>
      <c r="J47" s="11">
        <f>SUMIFS(tblOrdenes[costo_total],tblOrdenes[linea],$A47,tblOrdenes[anio],J$37,tblOrdenes[mes],J$38)</f>
        <v/>
      </c>
      <c r="K47" s="11">
        <f>SUMIFS(tblOrdenes[costo_total],tblOrdenes[linea],$A47,tblOrdenes[anio],K$37,tblOrdenes[mes],K$38)</f>
        <v/>
      </c>
      <c r="L47" s="11">
        <f>SUMIFS(tblOrdenes[costo_total],tblOrdenes[linea],$A47,tblOrdenes[anio],L$37,tblOrdenes[mes],L$38)</f>
        <v/>
      </c>
      <c r="M47" s="11">
        <f>SUM(B47:L47)</f>
        <v/>
      </c>
    </row>
    <row r="48">
      <c r="A48" s="3" t="inlineStr">
        <is>
          <t>AC</t>
        </is>
      </c>
      <c r="B48" s="11">
        <f>SUMIFS(tblOrdenes[costo_total],tblOrdenes[linea],$A48,tblOrdenes[anio],B$37,tblOrdenes[mes],B$38)</f>
        <v/>
      </c>
      <c r="C48" s="11">
        <f>SUMIFS(tblOrdenes[costo_total],tblOrdenes[linea],$A48,tblOrdenes[anio],C$37,tblOrdenes[mes],C$38)</f>
        <v/>
      </c>
      <c r="D48" s="11">
        <f>SUMIFS(tblOrdenes[costo_total],tblOrdenes[linea],$A48,tblOrdenes[anio],D$37,tblOrdenes[mes],D$38)</f>
        <v/>
      </c>
      <c r="E48" s="11">
        <f>SUMIFS(tblOrdenes[costo_total],tblOrdenes[linea],$A48,tblOrdenes[anio],E$37,tblOrdenes[mes],E$38)</f>
        <v/>
      </c>
      <c r="F48" s="11">
        <f>SUMIFS(tblOrdenes[costo_total],tblOrdenes[linea],$A48,tblOrdenes[anio],F$37,tblOrdenes[mes],F$38)</f>
        <v/>
      </c>
      <c r="G48" s="11">
        <f>SUMIFS(tblOrdenes[costo_total],tblOrdenes[linea],$A48,tblOrdenes[anio],G$37,tblOrdenes[mes],G$38)</f>
        <v/>
      </c>
      <c r="H48" s="11">
        <f>SUMIFS(tblOrdenes[costo_total],tblOrdenes[linea],$A48,tblOrdenes[anio],H$37,tblOrdenes[mes],H$38)</f>
        <v/>
      </c>
      <c r="I48" s="11">
        <f>SUMIFS(tblOrdenes[costo_total],tblOrdenes[linea],$A48,tblOrdenes[anio],I$37,tblOrdenes[mes],I$38)</f>
        <v/>
      </c>
      <c r="J48" s="11">
        <f>SUMIFS(tblOrdenes[costo_total],tblOrdenes[linea],$A48,tblOrdenes[anio],J$37,tblOrdenes[mes],J$38)</f>
        <v/>
      </c>
      <c r="K48" s="11">
        <f>SUMIFS(tblOrdenes[costo_total],tblOrdenes[linea],$A48,tblOrdenes[anio],K$37,tblOrdenes[mes],K$38)</f>
        <v/>
      </c>
      <c r="L48" s="11">
        <f>SUMIFS(tblOrdenes[costo_total],tblOrdenes[linea],$A48,tblOrdenes[anio],L$37,tblOrdenes[mes],L$38)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TERCERO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COUNTIFS(tblOrdenes[estado],"Pendiente",tblOrdenes[backlog_dias],"&gt;=0",tblOrdenes[backlog_dias],"&lt;=30",tblOrdenes[area],$A19)</f>
        <v/>
      </c>
      <c r="C19" s="3">
        <f>COUNTIFS(tblOrdenes[estado],"Pendiente",tblOrdenes[backlog_dias],"&gt;=31",tblOrdenes[backlog_dias],"&lt;=60",tblOrdenes[area],$A19)</f>
        <v/>
      </c>
      <c r="D19" s="3">
        <f>COUNTIFS(tblOrdenes[estado],"Pendiente",tblOrdenes[backlog_dias],"&gt;=61",tblOrdenes[backlog_dias],"&lt;=90",tblOrdenes[area],$A19)</f>
        <v/>
      </c>
      <c r="E19" s="3">
        <f>COUNTIFS(tblOrdenes[estado],"Pendiente",tblOrdenes[backlog_dias],"&gt;90",tblOrdenes[area],$A19)</f>
        <v/>
      </c>
    </row>
    <row r="20">
      <c r="A20" s="3" t="inlineStr">
        <is>
          <t>EMPAQUE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SERVICIOS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COUNTIFS(tblOrdenes[estado],"Pendiente",tblOrdenes[backlog_dias],"&gt;=0",tblOrdenes[backlog_dias],"&lt;=30",tblOrdenes[sub_area],$A25)</f>
        <v/>
      </c>
      <c r="C25" s="3">
        <f>COUNTIFS(tblOrdenes[estado],"Pendiente",tblOrdenes[backlog_dias],"&gt;=31",tblOrdenes[backlog_dias],"&lt;=60",tblOrdenes[sub_area],$A25)</f>
        <v/>
      </c>
      <c r="D25" s="3">
        <f>COUNTIFS(tblOrdenes[estado],"Pendiente",tblOrdenes[backlog_dias],"&gt;=61",tblOrdenes[backlog_dias],"&lt;=90",tblOrdenes[sub_area],$A25)</f>
        <v/>
      </c>
      <c r="E25" s="3">
        <f>COUNTIFS(tblOrdenes[estado],"Pendiente",tblOrdenes[backlog_dias],"&gt;90",tblOrdenes[sub_area],$A25)</f>
        <v/>
      </c>
    </row>
    <row r="26">
      <c r="A26" s="3" t="inlineStr">
        <is>
          <t>EMPAQUE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Vapor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Refrigeración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CO2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Aire comprimido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10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SUMIFS(tblOrdenes[costo_total],tblOrdenes[equipo],$A5,tblOrdenes[anio],B$3,tblOrdenes[mes],B$4)</f>
        <v/>
      </c>
      <c r="C5" s="11">
        <f>SUMIFS(tblOrdenes[costo_total],tblOrdenes[equipo],$A5,tblOrdenes[anio],C$3,tblOrdenes[mes],C$4)</f>
        <v/>
      </c>
      <c r="D5" s="11">
        <f>SUMIFS(tblOrdenes[costo_total],tblOrdenes[equipo],$A5,tblOrdenes[anio],D$3,tblOrdenes[mes],D$4)</f>
        <v/>
      </c>
      <c r="E5" s="11">
        <f>SUMIFS(tblOrdenes[costo_total],tblOrdenes[equipo],$A5,tblOrdenes[anio],E$3,tblOrdenes[mes],E$4)</f>
        <v/>
      </c>
      <c r="F5" s="11">
        <f>SUMIFS(tblOrdenes[costo_total],tblOrdenes[equipo],$A5,tblOrdenes[anio],F$3,tblOrdenes[mes],F$4)</f>
        <v/>
      </c>
      <c r="G5" s="11">
        <f>SUMIFS(tblOrdenes[costo_total],tblOrdenes[equipo],$A5,tblOrdenes[anio],G$3,tblOrdenes[mes],G$4)</f>
        <v/>
      </c>
      <c r="H5" s="11">
        <f>SUMIFS(tblOrdenes[costo_total],tblOrdenes[equipo],$A5,tblOrdenes[anio],H$3,tblOrdenes[mes],H$4)</f>
        <v/>
      </c>
      <c r="I5" s="11">
        <f>SUMIFS(tblOrdenes[costo_total],tblOrdenes[equipo],$A5,tblOrdenes[anio],I$3,tblOrdenes[mes],I$4)</f>
        <v/>
      </c>
      <c r="J5" s="11">
        <f>SUMIFS(tblOrdenes[costo_total],tblOrdenes[equipo],$A5,tblOrdenes[anio],J$3,tblOrdenes[mes],J$4)</f>
        <v/>
      </c>
      <c r="K5" s="11">
        <f>SUMIFS(tblOrdenes[costo_total],tblOrdenes[equipo],$A5,tblOrdenes[anio],K$3,tblOrdenes[mes],K$4)</f>
        <v/>
      </c>
      <c r="L5" s="11">
        <f>SUMIFS(tblOrdenes[costo_total],tblOrdenes[equipo],$A5,tblOrdenes[anio],L$3,tblOrdenes[mes],L$4)</f>
        <v/>
      </c>
      <c r="M5" s="11">
        <f>SUM(B5:L5)</f>
        <v/>
      </c>
    </row>
    <row r="6">
      <c r="A6" s="3" t="inlineStr">
        <is>
          <t>EQ-106</t>
        </is>
      </c>
      <c r="B6" s="11">
        <f>SUMIFS(tblOrdenes[costo_total],tblOrdenes[equipo],$A6,tblOrdenes[anio],B$3,tblOrdenes[mes],B$4)</f>
        <v/>
      </c>
      <c r="C6" s="11">
        <f>SUMIFS(tblOrdenes[costo_total],tblOrdenes[equipo],$A6,tblOrdenes[anio],C$3,tblOrdenes[mes],C$4)</f>
        <v/>
      </c>
      <c r="D6" s="11">
        <f>SUMIFS(tblOrdenes[costo_total],tblOrdenes[equipo],$A6,tblOrdenes[anio],D$3,tblOrdenes[mes],D$4)</f>
        <v/>
      </c>
      <c r="E6" s="11">
        <f>SUMIFS(tblOrdenes[costo_total],tblOrdenes[equipo],$A6,tblOrdenes[anio],E$3,tblOrdenes[mes],E$4)</f>
        <v/>
      </c>
      <c r="F6" s="11">
        <f>SUMIFS(tblOrdenes[costo_total],tblOrdenes[equipo],$A6,tblOrdenes[anio],F$3,tblOrdenes[mes],F$4)</f>
        <v/>
      </c>
      <c r="G6" s="11">
        <f>SUMIFS(tblOrdenes[costo_total],tblOrdenes[equipo],$A6,tblOrdenes[anio],G$3,tblOrdenes[mes],G$4)</f>
        <v/>
      </c>
      <c r="H6" s="11">
        <f>SUMIFS(tblOrdenes[costo_total],tblOrdenes[equipo],$A6,tblOrdenes[anio],H$3,tblOrdenes[mes],H$4)</f>
        <v/>
      </c>
      <c r="I6" s="11">
        <f>SUMIFS(tblOrdenes[costo_total],tblOrdenes[equipo],$A6,tblOrdenes[anio],I$3,tblOrdenes[mes],I$4)</f>
        <v/>
      </c>
      <c r="J6" s="11">
        <f>SUMIFS(tblOrdenes[costo_total],tblOrdenes[equipo],$A6,tblOrdenes[anio],J$3,tblOrdenes[mes],J$4)</f>
        <v/>
      </c>
      <c r="K6" s="11">
        <f>SUMIFS(tblOrdenes[costo_total],tblOrdenes[equipo],$A6,tblOrdenes[anio],K$3,tblOrdenes[mes],K$4)</f>
        <v/>
      </c>
      <c r="L6" s="11">
        <f>SUMIFS(tblOrdenes[costo_total],tblOrdenes[equipo],$A6,tblOrdenes[anio],L$3,tblOrdenes[mes],L$4)</f>
        <v/>
      </c>
      <c r="M6" s="11">
        <f>SUM(B6:L6)</f>
        <v/>
      </c>
    </row>
    <row r="7">
      <c r="A7" s="3" t="inlineStr">
        <is>
          <t>EQ-108</t>
        </is>
      </c>
      <c r="B7" s="11">
        <f>SUMIFS(tblOrdenes[costo_total],tblOrdenes[equipo],$A7,tblOrdenes[anio],B$3,tblOrdenes[mes],B$4)</f>
        <v/>
      </c>
      <c r="C7" s="11">
        <f>SUMIFS(tblOrdenes[costo_total],tblOrdenes[equipo],$A7,tblOrdenes[anio],C$3,tblOrdenes[mes],C$4)</f>
        <v/>
      </c>
      <c r="D7" s="11">
        <f>SUMIFS(tblOrdenes[costo_total],tblOrdenes[equipo],$A7,tblOrdenes[anio],D$3,tblOrdenes[mes],D$4)</f>
        <v/>
      </c>
      <c r="E7" s="11">
        <f>SUMIFS(tblOrdenes[costo_total],tblOrdenes[equipo],$A7,tblOrdenes[anio],E$3,tblOrdenes[mes],E$4)</f>
        <v/>
      </c>
      <c r="F7" s="11">
        <f>SUMIFS(tblOrdenes[costo_total],tblOrdenes[equipo],$A7,tblOrdenes[anio],F$3,tblOrdenes[mes],F$4)</f>
        <v/>
      </c>
      <c r="G7" s="11">
        <f>SUMIFS(tblOrdenes[costo_total],tblOrdenes[equipo],$A7,tblOrdenes[anio],G$3,tblOrdenes[mes],G$4)</f>
        <v/>
      </c>
      <c r="H7" s="11">
        <f>SUMIFS(tblOrdenes[costo_total],tblOrdenes[equipo],$A7,tblOrdenes[anio],H$3,tblOrdenes[mes],H$4)</f>
        <v/>
      </c>
      <c r="I7" s="11">
        <f>SUMIFS(tblOrdenes[costo_total],tblOrdenes[equipo],$A7,tblOrdenes[anio],I$3,tblOrdenes[mes],I$4)</f>
        <v/>
      </c>
      <c r="J7" s="11">
        <f>SUMIFS(tblOrdenes[costo_total],tblOrdenes[equipo],$A7,tblOrdenes[anio],J$3,tblOrdenes[mes],J$4)</f>
        <v/>
      </c>
      <c r="K7" s="11">
        <f>SUMIFS(tblOrdenes[costo_total],tblOrdenes[equipo],$A7,tblOrdenes[anio],K$3,tblOrdenes[mes],K$4)</f>
        <v/>
      </c>
      <c r="L7" s="11">
        <f>SUMIFS(tblOrdenes[costo_total],tblOrdenes[equipo],$A7,tblOrdenes[anio],L$3,tblOrdenes[mes],L$4)</f>
        <v/>
      </c>
      <c r="M7" s="11">
        <f>SUM(B7:L7)</f>
        <v/>
      </c>
    </row>
    <row r="8">
      <c r="A8" s="3" t="inlineStr">
        <is>
          <t>EQ-109</t>
        </is>
      </c>
      <c r="B8" s="11">
        <f>SUMIFS(tblOrdenes[costo_total],tblOrdenes[equipo],$A8,tblOrdenes[anio],B$3,tblOrdenes[mes],B$4)</f>
        <v/>
      </c>
      <c r="C8" s="11">
        <f>SUMIFS(tblOrdenes[costo_total],tblOrdenes[equipo],$A8,tblOrdenes[anio],C$3,tblOrdenes[mes],C$4)</f>
        <v/>
      </c>
      <c r="D8" s="11">
        <f>SUMIFS(tblOrdenes[costo_total],tblOrdenes[equipo],$A8,tblOrdenes[anio],D$3,tblOrdenes[mes],D$4)</f>
        <v/>
      </c>
      <c r="E8" s="11">
        <f>SUMIFS(tblOrdenes[costo_total],tblOrdenes[equipo],$A8,tblOrdenes[anio],E$3,tblOrdenes[mes],E$4)</f>
        <v/>
      </c>
      <c r="F8" s="11">
        <f>SUMIFS(tblOrdenes[costo_total],tblOrdenes[equipo],$A8,tblOrdenes[anio],F$3,tblOrdenes[mes],F$4)</f>
        <v/>
      </c>
      <c r="G8" s="11">
        <f>SUMIFS(tblOrdenes[costo_total],tblOrdenes[equipo],$A8,tblOrdenes[anio],G$3,tblOrdenes[mes],G$4)</f>
        <v/>
      </c>
      <c r="H8" s="11">
        <f>SUMIFS(tblOrdenes[costo_total],tblOrdenes[equipo],$A8,tblOrdenes[anio],H$3,tblOrdenes[mes],H$4)</f>
        <v/>
      </c>
      <c r="I8" s="11">
        <f>SUMIFS(tblOrdenes[costo_total],tblOrdenes[equipo],$A8,tblOrdenes[anio],I$3,tblOrdenes[mes],I$4)</f>
        <v/>
      </c>
      <c r="J8" s="11">
        <f>SUMIFS(tblOrdenes[costo_total],tblOrdenes[equipo],$A8,tblOrdenes[anio],J$3,tblOrdenes[mes],J$4)</f>
        <v/>
      </c>
      <c r="K8" s="11">
        <f>SUMIFS(tblOrdenes[costo_total],tblOrdenes[equipo],$A8,tblOrdenes[anio],K$3,tblOrdenes[mes],K$4)</f>
        <v/>
      </c>
      <c r="L8" s="11">
        <f>SUMIFS(tblOrdenes[costo_total],tblOrdenes[equipo],$A8,tblOrdenes[anio],L$3,tblOrdenes[mes],L$4)</f>
        <v/>
      </c>
      <c r="M8" s="11">
        <f>SUM(B8:L8)</f>
        <v/>
      </c>
    </row>
    <row r="9">
      <c r="A9" s="3" t="inlineStr">
        <is>
          <t>EQ-103</t>
        </is>
      </c>
      <c r="B9" s="11">
        <f>SUMIFS(tblOrdenes[costo_total],tblOrdenes[equipo],$A9,tblOrdenes[anio],B$3,tblOrdenes[mes],B$4)</f>
        <v/>
      </c>
      <c r="C9" s="11">
        <f>SUMIFS(tblOrdenes[costo_total],tblOrdenes[equipo],$A9,tblOrdenes[anio],C$3,tblOrdenes[mes],C$4)</f>
        <v/>
      </c>
      <c r="D9" s="11">
        <f>SUMIFS(tblOrdenes[costo_total],tblOrdenes[equipo],$A9,tblOrdenes[anio],D$3,tblOrdenes[mes],D$4)</f>
        <v/>
      </c>
      <c r="E9" s="11">
        <f>SUMIFS(tblOrdenes[costo_total],tblOrdenes[equipo],$A9,tblOrdenes[anio],E$3,tblOrdenes[mes],E$4)</f>
        <v/>
      </c>
      <c r="F9" s="11">
        <f>SUMIFS(tblOrdenes[costo_total],tblOrdenes[equipo],$A9,tblOrdenes[anio],F$3,tblOrdenes[mes],F$4)</f>
        <v/>
      </c>
      <c r="G9" s="11">
        <f>SUMIFS(tblOrdenes[costo_total],tblOrdenes[equipo],$A9,tblOrdenes[anio],G$3,tblOrdenes[mes],G$4)</f>
        <v/>
      </c>
      <c r="H9" s="11">
        <f>SUMIFS(tblOrdenes[costo_total],tblOrdenes[equipo],$A9,tblOrdenes[anio],H$3,tblOrdenes[mes],H$4)</f>
        <v/>
      </c>
      <c r="I9" s="11">
        <f>SUMIFS(tblOrdenes[costo_total],tblOrdenes[equipo],$A9,tblOrdenes[anio],I$3,tblOrdenes[mes],I$4)</f>
        <v/>
      </c>
      <c r="J9" s="11">
        <f>SUMIFS(tblOrdenes[costo_total],tblOrdenes[equipo],$A9,tblOrdenes[anio],J$3,tblOrdenes[mes],J$4)</f>
        <v/>
      </c>
      <c r="K9" s="11">
        <f>SUMIFS(tblOrdenes[costo_total],tblOrdenes[equipo],$A9,tblOrdenes[anio],K$3,tblOrdenes[mes],K$4)</f>
        <v/>
      </c>
      <c r="L9" s="11">
        <f>SUMIFS(tblOrdenes[costo_total],tblOrdenes[equipo],$A9,tblOrdenes[anio],L$3,tblOrdenes[mes],L$4)</f>
        <v/>
      </c>
      <c r="M9" s="11">
        <f>SUM(B9:L9)</f>
        <v/>
      </c>
    </row>
    <row r="10">
      <c r="A10" s="3" t="inlineStr">
        <is>
          <t>EQ-102</t>
        </is>
      </c>
      <c r="B10" s="11">
        <f>SUMIFS(tblOrdenes[costo_total],tblOrdenes[equipo],$A10,tblOrdenes[anio],B$3,tblOrdenes[mes],B$4)</f>
        <v/>
      </c>
      <c r="C10" s="11">
        <f>SUMIFS(tblOrdenes[costo_total],tblOrdenes[equipo],$A10,tblOrdenes[anio],C$3,tblOrdenes[mes],C$4)</f>
        <v/>
      </c>
      <c r="D10" s="11">
        <f>SUMIFS(tblOrdenes[costo_total],tblOrdenes[equipo],$A10,tblOrdenes[anio],D$3,tblOrdenes[mes],D$4)</f>
        <v/>
      </c>
      <c r="E10" s="11">
        <f>SUMIFS(tblOrdenes[costo_total],tblOrdenes[equipo],$A10,tblOrdenes[anio],E$3,tblOrdenes[mes],E$4)</f>
        <v/>
      </c>
      <c r="F10" s="11">
        <f>SUMIFS(tblOrdenes[costo_total],tblOrdenes[equipo],$A10,tblOrdenes[anio],F$3,tblOrdenes[mes],F$4)</f>
        <v/>
      </c>
      <c r="G10" s="11">
        <f>SUMIFS(tblOrdenes[costo_total],tblOrdenes[equipo],$A10,tblOrdenes[anio],G$3,tblOrdenes[mes],G$4)</f>
        <v/>
      </c>
      <c r="H10" s="11">
        <f>SUMIFS(tblOrdenes[costo_total],tblOrdenes[equipo],$A10,tblOrdenes[anio],H$3,tblOrdenes[mes],H$4)</f>
        <v/>
      </c>
      <c r="I10" s="11">
        <f>SUMIFS(tblOrdenes[costo_total],tblOrdenes[equipo],$A10,tblOrdenes[anio],I$3,tblOrdenes[mes],I$4)</f>
        <v/>
      </c>
      <c r="J10" s="11">
        <f>SUMIFS(tblOrdenes[costo_total],tblOrdenes[equipo],$A10,tblOrdenes[anio],J$3,tblOrdenes[mes],J$4)</f>
        <v/>
      </c>
      <c r="K10" s="11">
        <f>SUMIFS(tblOrdenes[costo_total],tblOrdenes[equipo],$A10,tblOrdenes[anio],K$3,tblOrdenes[mes],K$4)</f>
        <v/>
      </c>
      <c r="L10" s="11">
        <f>SUMIFS(tblOrdenes[costo_total],tblOrdenes[equipo],$A10,tblOrdenes[anio],L$3,tblOrdenes[mes],L$4)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SUMIFS(tblOrdenes[costo_total],tblOrdenes[equipo],$A11,tblOrdenes[anio],B$3,tblOrdenes[mes],B$4)</f>
        <v/>
      </c>
      <c r="C11" s="11">
        <f>SUMIFS(tblOrdenes[costo_total],tblOrdenes[equipo],$A11,tblOrdenes[anio],C$3,tblOrdenes[mes],C$4)</f>
        <v/>
      </c>
      <c r="D11" s="11">
        <f>SUMIFS(tblOrdenes[costo_total],tblOrdenes[equipo],$A11,tblOrdenes[anio],D$3,tblOrdenes[mes],D$4)</f>
        <v/>
      </c>
      <c r="E11" s="11">
        <f>SUMIFS(tblOrdenes[costo_total],tblOrdenes[equipo],$A11,tblOrdenes[anio],E$3,tblOrdenes[mes],E$4)</f>
        <v/>
      </c>
      <c r="F11" s="11">
        <f>SUMIFS(tblOrdenes[costo_total],tblOrdenes[equipo],$A11,tblOrdenes[anio],F$3,tblOrdenes[mes],F$4)</f>
        <v/>
      </c>
      <c r="G11" s="11">
        <f>SUMIFS(tblOrdenes[costo_total],tblOrdenes[equipo],$A11,tblOrdenes[anio],G$3,tblOrdenes[mes],G$4)</f>
        <v/>
      </c>
      <c r="H11" s="11">
        <f>SUMIFS(tblOrdenes[costo_total],tblOrdenes[equipo],$A11,tblOrdenes[anio],H$3,tblOrdenes[mes],H$4)</f>
        <v/>
      </c>
      <c r="I11" s="11">
        <f>SUMIFS(tblOrdenes[costo_total],tblOrdenes[equipo],$A11,tblOrdenes[anio],I$3,tblOrdenes[mes],I$4)</f>
        <v/>
      </c>
      <c r="J11" s="11">
        <f>SUMIFS(tblOrdenes[costo_total],tblOrdenes[equipo],$A11,tblOrdenes[anio],J$3,tblOrdenes[mes],J$4)</f>
        <v/>
      </c>
      <c r="K11" s="11">
        <f>SUMIFS(tblOrdenes[costo_total],tblOrdenes[equipo],$A11,tblOrdenes[anio],K$3,tblOrdenes[mes],K$4)</f>
        <v/>
      </c>
      <c r="L11" s="11">
        <f>SUMIFS(tblOrdenes[costo_total],tblOrdenes[equipo],$A11,tblOrdenes[anio],L$3,tblOrdenes[mes],L$4)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SUMIFS(tblOrdenes[costo_total],tblOrdenes[equipo],$A12,tblOrdenes[anio],B$3,tblOrdenes[mes],B$4)</f>
        <v/>
      </c>
      <c r="C12" s="11">
        <f>SUMIFS(tblOrdenes[costo_total],tblOrdenes[equipo],$A12,tblOrdenes[anio],C$3,tblOrdenes[mes],C$4)</f>
        <v/>
      </c>
      <c r="D12" s="11">
        <f>SUMIFS(tblOrdenes[costo_total],tblOrdenes[equipo],$A12,tblOrdenes[anio],D$3,tblOrdenes[mes],D$4)</f>
        <v/>
      </c>
      <c r="E12" s="11">
        <f>SUMIFS(tblOrdenes[costo_total],tblOrdenes[equipo],$A12,tblOrdenes[anio],E$3,tblOrdenes[mes],E$4)</f>
        <v/>
      </c>
      <c r="F12" s="11">
        <f>SUMIFS(tblOrdenes[costo_total],tblOrdenes[equipo],$A12,tblOrdenes[anio],F$3,tblOrdenes[mes],F$4)</f>
        <v/>
      </c>
      <c r="G12" s="11">
        <f>SUMIFS(tblOrdenes[costo_total],tblOrdenes[equipo],$A12,tblOrdenes[anio],G$3,tblOrdenes[mes],G$4)</f>
        <v/>
      </c>
      <c r="H12" s="11">
        <f>SUMIFS(tblOrdenes[costo_total],tblOrdenes[equipo],$A12,tblOrdenes[anio],H$3,tblOrdenes[mes],H$4)</f>
        <v/>
      </c>
      <c r="I12" s="11">
        <f>SUMIFS(tblOrdenes[costo_total],tblOrdenes[equipo],$A12,tblOrdenes[anio],I$3,tblOrdenes[mes],I$4)</f>
        <v/>
      </c>
      <c r="J12" s="11">
        <f>SUMIFS(tblOrdenes[costo_total],tblOrdenes[equipo],$A12,tblOrdenes[anio],J$3,tblOrdenes[mes],J$4)</f>
        <v/>
      </c>
      <c r="K12" s="11">
        <f>SUMIFS(tblOrdenes[costo_total],tblOrdenes[equipo],$A12,tblOrdenes[anio],K$3,tblOrdenes[mes],K$4)</f>
        <v/>
      </c>
      <c r="L12" s="11">
        <f>SUMIFS(tblOrdenes[costo_total],tblOrdenes[equipo],$A12,tblOrdenes[anio],L$3,tblOrdenes[mes],L$4)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SUMIFS(tblOrdenes[costo_total],tblOrdenes[equipo],$A13,tblOrdenes[anio],B$3,tblOrdenes[mes],B$4)</f>
        <v/>
      </c>
      <c r="C13" s="11">
        <f>SUMIFS(tblOrdenes[costo_total],tblOrdenes[equipo],$A13,tblOrdenes[anio],C$3,tblOrdenes[mes],C$4)</f>
        <v/>
      </c>
      <c r="D13" s="11">
        <f>SUMIFS(tblOrdenes[costo_total],tblOrdenes[equipo],$A13,tblOrdenes[anio],D$3,tblOrdenes[mes],D$4)</f>
        <v/>
      </c>
      <c r="E13" s="11">
        <f>SUMIFS(tblOrdenes[costo_total],tblOrdenes[equipo],$A13,tblOrdenes[anio],E$3,tblOrdenes[mes],E$4)</f>
        <v/>
      </c>
      <c r="F13" s="11">
        <f>SUMIFS(tblOrdenes[costo_total],tblOrdenes[equipo],$A13,tblOrdenes[anio],F$3,tblOrdenes[mes],F$4)</f>
        <v/>
      </c>
      <c r="G13" s="11">
        <f>SUMIFS(tblOrdenes[costo_total],tblOrdenes[equipo],$A13,tblOrdenes[anio],G$3,tblOrdenes[mes],G$4)</f>
        <v/>
      </c>
      <c r="H13" s="11">
        <f>SUMIFS(tblOrdenes[costo_total],tblOrdenes[equipo],$A13,tblOrdenes[anio],H$3,tblOrdenes[mes],H$4)</f>
        <v/>
      </c>
      <c r="I13" s="11">
        <f>SUMIFS(tblOrdenes[costo_total],tblOrdenes[equipo],$A13,tblOrdenes[anio],I$3,tblOrdenes[mes],I$4)</f>
        <v/>
      </c>
      <c r="J13" s="11">
        <f>SUMIFS(tblOrdenes[costo_total],tblOrdenes[equipo],$A13,tblOrdenes[anio],J$3,tblOrdenes[mes],J$4)</f>
        <v/>
      </c>
      <c r="K13" s="11">
        <f>SUMIFS(tblOrdenes[costo_total],tblOrdenes[equipo],$A13,tblOrdenes[anio],K$3,tblOrdenes[mes],K$4)</f>
        <v/>
      </c>
      <c r="L13" s="11">
        <f>SUMIFS(tblOrdenes[costo_total],tblOrdenes[equipo],$A13,tblOrdenes[anio],L$3,tblOrdenes[mes],L$4)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SUMIFS(tblOrdenes[costo_total],tblOrdenes[equipo],$A14,tblOrdenes[anio],B$3,tblOrdenes[mes],B$4)</f>
        <v/>
      </c>
      <c r="C14" s="11">
        <f>SUMIFS(tblOrdenes[costo_total],tblOrdenes[equipo],$A14,tblOrdenes[anio],C$3,tblOrdenes[mes],C$4)</f>
        <v/>
      </c>
      <c r="D14" s="11">
        <f>SUMIFS(tblOrdenes[costo_total],tblOrdenes[equipo],$A14,tblOrdenes[anio],D$3,tblOrdenes[mes],D$4)</f>
        <v/>
      </c>
      <c r="E14" s="11">
        <f>SUMIFS(tblOrdenes[costo_total],tblOrdenes[equipo],$A14,tblOrdenes[anio],E$3,tblOrdenes[mes],E$4)</f>
        <v/>
      </c>
      <c r="F14" s="11">
        <f>SUMIFS(tblOrdenes[costo_total],tblOrdenes[equipo],$A14,tblOrdenes[anio],F$3,tblOrdenes[mes],F$4)</f>
        <v/>
      </c>
      <c r="G14" s="11">
        <f>SUMIFS(tblOrdenes[costo_total],tblOrdenes[equipo],$A14,tblOrdenes[anio],G$3,tblOrdenes[mes],G$4)</f>
        <v/>
      </c>
      <c r="H14" s="11">
        <f>SUMIFS(tblOrdenes[costo_total],tblOrdenes[equipo],$A14,tblOrdenes[anio],H$3,tblOrdenes[mes],H$4)</f>
        <v/>
      </c>
      <c r="I14" s="11">
        <f>SUMIFS(tblOrdenes[costo_total],tblOrdenes[equipo],$A14,tblOrdenes[anio],I$3,tblOrdenes[mes],I$4)</f>
        <v/>
      </c>
      <c r="J14" s="11">
        <f>SUMIFS(tblOrdenes[costo_total],tblOrdenes[equipo],$A14,tblOrdenes[anio],J$3,tblOrdenes[mes],J$4)</f>
        <v/>
      </c>
      <c r="K14" s="11">
        <f>SUMIFS(tblOrdenes[costo_total],tblOrdenes[equipo],$A14,tblOrdenes[anio],K$3,tblOrdenes[mes],K$4)</f>
        <v/>
      </c>
      <c r="L14" s="11">
        <f>SUMIFS(tblOrdenes[costo_total],tblOrdenes[equipo],$A14,tblOrdenes[anio],L$3,tblOrdenes[mes],L$4)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SUMIFS(tblOrdenes[costo_total],tblOrdenes[equipo],$A15,tblOrdenes[anio],B$3,tblOrdenes[mes],B$4)</f>
        <v/>
      </c>
      <c r="C15" s="11">
        <f>SUMIFS(tblOrdenes[costo_total],tblOrdenes[equipo],$A15,tblOrdenes[anio],C$3,tblOrdenes[mes],C$4)</f>
        <v/>
      </c>
      <c r="D15" s="11">
        <f>SUMIFS(tblOrdenes[costo_total],tblOrdenes[equipo],$A15,tblOrdenes[anio],D$3,tblOrdenes[mes],D$4)</f>
        <v/>
      </c>
      <c r="E15" s="11">
        <f>SUMIFS(tblOrdenes[costo_total],tblOrdenes[equipo],$A15,tblOrdenes[anio],E$3,tblOrdenes[mes],E$4)</f>
        <v/>
      </c>
      <c r="F15" s="11">
        <f>SUMIFS(tblOrdenes[costo_total],tblOrdenes[equipo],$A15,tblOrdenes[anio],F$3,tblOrdenes[mes],F$4)</f>
        <v/>
      </c>
      <c r="G15" s="11">
        <f>SUMIFS(tblOrdenes[costo_total],tblOrdenes[equipo],$A15,tblOrdenes[anio],G$3,tblOrdenes[mes],G$4)</f>
        <v/>
      </c>
      <c r="H15" s="11">
        <f>SUMIFS(tblOrdenes[costo_total],tblOrdenes[equipo],$A15,tblOrdenes[anio],H$3,tblOrdenes[mes],H$4)</f>
        <v/>
      </c>
      <c r="I15" s="11">
        <f>SUMIFS(tblOrdenes[costo_total],tblOrdenes[equipo],$A15,tblOrdenes[anio],I$3,tblOrdenes[mes],I$4)</f>
        <v/>
      </c>
      <c r="J15" s="11">
        <f>SUMIFS(tblOrdenes[costo_total],tblOrdenes[equipo],$A15,tblOrdenes[anio],J$3,tblOrdenes[mes],J$4)</f>
        <v/>
      </c>
      <c r="K15" s="11">
        <f>SUMIFS(tblOrdenes[costo_total],tblOrdenes[equipo],$A15,tblOrdenes[anio],K$3,tblOrdenes[mes],K$4)</f>
        <v/>
      </c>
      <c r="L15" s="11">
        <f>SUMIFS(tblOrdenes[costo_total],tblOrdenes[equipo],$A15,tblOrdenes[anio],L$3,tblOrdenes[mes],L$4)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SUMIFS(tblOrdenes[costo_total],tblOrdenes[equipo],$A16,tblOrdenes[anio],B$3,tblOrdenes[mes],B$4)</f>
        <v/>
      </c>
      <c r="C16" s="11">
        <f>SUMIFS(tblOrdenes[costo_total],tblOrdenes[equipo],$A16,tblOrdenes[anio],C$3,tblOrdenes[mes],C$4)</f>
        <v/>
      </c>
      <c r="D16" s="11">
        <f>SUMIFS(tblOrdenes[costo_total],tblOrdenes[equipo],$A16,tblOrdenes[anio],D$3,tblOrdenes[mes],D$4)</f>
        <v/>
      </c>
      <c r="E16" s="11">
        <f>SUMIFS(tblOrdenes[costo_total],tblOrdenes[equipo],$A16,tblOrdenes[anio],E$3,tblOrdenes[mes],E$4)</f>
        <v/>
      </c>
      <c r="F16" s="11">
        <f>SUMIFS(tblOrdenes[costo_total],tblOrdenes[equipo],$A16,tblOrdenes[anio],F$3,tblOrdenes[mes],F$4)</f>
        <v/>
      </c>
      <c r="G16" s="11">
        <f>SUMIFS(tblOrdenes[costo_total],tblOrdenes[equipo],$A16,tblOrdenes[anio],G$3,tblOrdenes[mes],G$4)</f>
        <v/>
      </c>
      <c r="H16" s="11">
        <f>SUMIFS(tblOrdenes[costo_total],tblOrdenes[equipo],$A16,tblOrdenes[anio],H$3,tblOrdenes[mes],H$4)</f>
        <v/>
      </c>
      <c r="I16" s="11">
        <f>SUMIFS(tblOrdenes[costo_total],tblOrdenes[equipo],$A16,tblOrdenes[anio],I$3,tblOrdenes[mes],I$4)</f>
        <v/>
      </c>
      <c r="J16" s="11">
        <f>SUMIFS(tblOrdenes[costo_total],tblOrdenes[equipo],$A16,tblOrdenes[anio],J$3,tblOrdenes[mes],J$4)</f>
        <v/>
      </c>
      <c r="K16" s="11">
        <f>SUMIFS(tblOrdenes[costo_total],tblOrdenes[equipo],$A16,tblOrdenes[anio],K$3,tblOrdenes[mes],K$4)</f>
        <v/>
      </c>
      <c r="L16" s="11">
        <f>SUMIFS(tblOrdenes[costo_total],tblOrdenes[equipo],$A16,tblOrdenes[anio],L$3,tblOrdenes[mes],L$4)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3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IF(SUMPRODUCT($K$8:$K$1207,--(tblOrdenes[tecnico_asignado]=AB20))&gt;0,1,0)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3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IF(SUMPRODUCT($K$8:$K$1207,--(tblOrdenes[tecnico_asignado]=AB21))&gt;0,1,0)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3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IF(SUMPRODUCT($K$8:$K$1207,--(tblOrdenes[tecnico_asignado]=AB22))&gt;0,1,0)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3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IF(SUMPRODUCT($K$8:$K$1207,--(tblOrdenes[tecnico_asignado]=AB23))&gt;0,1,0)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2026-07-23T01:53:58Z</dcterms:created>
  <dcterms:modified xsi:type="dcterms:W3CDTF">2026-07-23T01:53:59Z</dcterms:modified>
</cp:coreProperties>
</file>